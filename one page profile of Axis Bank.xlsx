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fileSharing readOnlyRecommended="1"/>
  <workbookPr codeName="ThisWorkbook"/>
  <mc:AlternateContent xmlns:mc="http://schemas.openxmlformats.org/markup-compatibility/2006">
    <mc:Choice Requires="x15">
      <x15ac:absPath xmlns:x15ac="http://schemas.microsoft.com/office/spreadsheetml/2010/11/ac" url="https://d.docs.live.net/F95B1D0088339F0F/Documents/"/>
    </mc:Choice>
  </mc:AlternateContent>
  <xr:revisionPtr revIDLastSave="0" documentId="8_{667581E0-C97B-431C-AA19-F9DDBA8193F2}" xr6:coauthVersionLast="47" xr6:coauthVersionMax="47" xr10:uidLastSave="{00000000-0000-0000-0000-000000000000}"/>
  <bookViews>
    <workbookView xWindow="-108" yWindow="-108" windowWidth="23256" windowHeight="13896" firstSheet="1" activeTab="6" xr2:uid="{00000000-000D-0000-FFFF-FFFF00000000}"/>
  </bookViews>
  <sheets>
    <sheet name="INPUT SHEET" sheetId="8" r:id="rId1"/>
    <sheet name="TEASER" sheetId="7" r:id="rId2"/>
    <sheet name="Profit &amp; Loss" sheetId="1" r:id="rId3"/>
    <sheet name="Quarters" sheetId="3" r:id="rId4"/>
    <sheet name="Balance Sheet" sheetId="2" r:id="rId5"/>
    <sheet name="Cash Flow" sheetId="4" r:id="rId6"/>
    <sheet name="Data Sheet" sheetId="6" r:id="rId7"/>
  </sheets>
  <definedNames>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73" i="6" l="1"/>
  <c r="G73" i="6"/>
  <c r="H73" i="6"/>
  <c r="I73" i="6"/>
  <c r="J73" i="6"/>
  <c r="K73" i="6"/>
  <c r="E73" i="6"/>
  <c r="F46" i="1"/>
  <c r="G46" i="1"/>
  <c r="H46" i="1"/>
  <c r="I46" i="1"/>
  <c r="J46" i="1"/>
  <c r="K46" i="1"/>
  <c r="E46" i="1"/>
  <c r="M57" i="6"/>
  <c r="C4" i="7"/>
  <c r="K47" i="7"/>
  <c r="K43" i="7"/>
  <c r="K46" i="7"/>
  <c r="F34" i="7"/>
  <c r="K44" i="7"/>
  <c r="K45" i="7" s="1"/>
  <c r="K49" i="7" s="1"/>
  <c r="E31" i="7"/>
  <c r="E32" i="7"/>
  <c r="E33" i="7"/>
  <c r="E34" i="7"/>
  <c r="E35" i="7"/>
  <c r="E36" i="7"/>
  <c r="E37" i="7"/>
  <c r="E38" i="7"/>
  <c r="E39" i="7"/>
  <c r="E30" i="7"/>
  <c r="C31" i="7"/>
  <c r="C32" i="7"/>
  <c r="C33" i="7"/>
  <c r="C34" i="7"/>
  <c r="C35" i="7"/>
  <c r="C36" i="7"/>
  <c r="C37" i="7"/>
  <c r="C38" i="7"/>
  <c r="C39" i="7"/>
  <c r="C30" i="7"/>
  <c r="B35" i="7"/>
  <c r="B38" i="7"/>
  <c r="B39" i="7"/>
  <c r="B31" i="7"/>
  <c r="B32" i="7"/>
  <c r="B33" i="7"/>
  <c r="B34" i="7"/>
  <c r="B36" i="7"/>
  <c r="B37" i="7"/>
  <c r="B30" i="7"/>
  <c r="V866" i="8"/>
  <c r="F39" i="7" s="1"/>
  <c r="V865" i="8"/>
  <c r="F38" i="7" s="1"/>
  <c r="V864" i="8"/>
  <c r="F37" i="7" s="1"/>
  <c r="V863" i="8"/>
  <c r="F36" i="7" s="1"/>
  <c r="V862" i="8"/>
  <c r="F35" i="7" s="1"/>
  <c r="V861" i="8"/>
  <c r="V860" i="8"/>
  <c r="F33" i="7" s="1"/>
  <c r="V859" i="8"/>
  <c r="F32" i="7" s="1"/>
  <c r="V858" i="8"/>
  <c r="F31" i="7" s="1"/>
  <c r="V857" i="8"/>
  <c r="F30" i="7" s="1"/>
  <c r="D26" i="7"/>
  <c r="E26" i="7"/>
  <c r="F26" i="7"/>
  <c r="G26" i="7"/>
  <c r="C26" i="7"/>
  <c r="D25" i="7"/>
  <c r="E25" i="7"/>
  <c r="F25" i="7"/>
  <c r="G25" i="7"/>
  <c r="C25" i="7"/>
  <c r="D24" i="7"/>
  <c r="E24" i="7"/>
  <c r="F24" i="7"/>
  <c r="G24" i="7"/>
  <c r="C24" i="7"/>
  <c r="D23" i="7"/>
  <c r="E23" i="7"/>
  <c r="F23" i="7"/>
  <c r="G23" i="7"/>
  <c r="C23" i="7"/>
  <c r="D22" i="7"/>
  <c r="E22" i="7"/>
  <c r="F22" i="7"/>
  <c r="G22" i="7"/>
  <c r="C22" i="7"/>
  <c r="D21" i="7"/>
  <c r="E21" i="7"/>
  <c r="F21" i="7"/>
  <c r="G21" i="7"/>
  <c r="C21" i="7"/>
  <c r="C44" i="1"/>
  <c r="D44" i="1"/>
  <c r="E44" i="1"/>
  <c r="F44" i="1"/>
  <c r="G44" i="1"/>
  <c r="H44" i="1"/>
  <c r="I44" i="1"/>
  <c r="J44" i="1"/>
  <c r="K44" i="1"/>
  <c r="B44" i="1"/>
  <c r="C26" i="2"/>
  <c r="D26" i="2"/>
  <c r="E26" i="2"/>
  <c r="F26" i="2"/>
  <c r="G26" i="2"/>
  <c r="H26" i="2"/>
  <c r="I26" i="2"/>
  <c r="J26" i="2"/>
  <c r="K26" i="2"/>
  <c r="B26" i="2"/>
  <c r="C43" i="1"/>
  <c r="D43" i="1"/>
  <c r="E43" i="1"/>
  <c r="F43" i="1"/>
  <c r="G43" i="1"/>
  <c r="H43" i="1"/>
  <c r="I43" i="1"/>
  <c r="J43" i="1"/>
  <c r="K43" i="1"/>
  <c r="B43" i="1"/>
  <c r="C42" i="1"/>
  <c r="D42" i="1"/>
  <c r="E42" i="1"/>
  <c r="F42" i="1"/>
  <c r="G42" i="1"/>
  <c r="H42" i="1"/>
  <c r="I42" i="1"/>
  <c r="J42" i="1"/>
  <c r="K42" i="1"/>
  <c r="B42" i="1"/>
  <c r="C40" i="1"/>
  <c r="D40" i="1"/>
  <c r="E40" i="1"/>
  <c r="F40" i="1"/>
  <c r="G40" i="1"/>
  <c r="H40" i="1"/>
  <c r="I40" i="1"/>
  <c r="J40" i="1"/>
  <c r="K40" i="1"/>
  <c r="B40" i="1"/>
  <c r="C39" i="1"/>
  <c r="D39" i="1"/>
  <c r="E39" i="1"/>
  <c r="F39" i="1"/>
  <c r="G39" i="1"/>
  <c r="H39" i="1"/>
  <c r="I39" i="1"/>
  <c r="J39" i="1"/>
  <c r="K39" i="1"/>
  <c r="B39" i="1"/>
  <c r="C38" i="1"/>
  <c r="D38" i="1"/>
  <c r="E38" i="1"/>
  <c r="F38" i="1"/>
  <c r="G38" i="1"/>
  <c r="H38" i="1"/>
  <c r="I38" i="1"/>
  <c r="J38" i="1"/>
  <c r="K38" i="1"/>
  <c r="B38" i="1"/>
  <c r="C37" i="1"/>
  <c r="D37" i="1"/>
  <c r="E37" i="1"/>
  <c r="F37" i="1"/>
  <c r="G37" i="1"/>
  <c r="H37" i="1"/>
  <c r="I37" i="1"/>
  <c r="J37" i="1"/>
  <c r="K37" i="1"/>
  <c r="B37" i="1"/>
  <c r="D35" i="1"/>
  <c r="E35" i="1"/>
  <c r="F35" i="1"/>
  <c r="G35" i="1"/>
  <c r="H35" i="1"/>
  <c r="I35" i="1"/>
  <c r="E17" i="7" s="1"/>
  <c r="J35" i="1"/>
  <c r="F17" i="7" s="1"/>
  <c r="K35" i="1"/>
  <c r="G17" i="7" s="1"/>
  <c r="C35" i="1"/>
  <c r="D17" i="7"/>
  <c r="D16" i="7"/>
  <c r="E16" i="7"/>
  <c r="F16" i="7"/>
  <c r="G16" i="7"/>
  <c r="C16" i="7"/>
  <c r="C17" i="7"/>
  <c r="C34" i="1"/>
  <c r="D34" i="1"/>
  <c r="E34" i="1"/>
  <c r="F34" i="1"/>
  <c r="G34" i="1"/>
  <c r="H34" i="1"/>
  <c r="I34" i="1"/>
  <c r="J34" i="1"/>
  <c r="K34" i="1"/>
  <c r="B34" i="1"/>
  <c r="D15" i="7"/>
  <c r="E15" i="7"/>
  <c r="F15" i="7"/>
  <c r="G15" i="7"/>
  <c r="C15" i="7"/>
  <c r="D33" i="1"/>
  <c r="E33" i="1"/>
  <c r="F33" i="1"/>
  <c r="G33" i="1"/>
  <c r="H33" i="1"/>
  <c r="I33" i="1"/>
  <c r="J33" i="1"/>
  <c r="K33" i="1"/>
  <c r="C33" i="1"/>
  <c r="D14" i="7"/>
  <c r="E14" i="7"/>
  <c r="F14" i="7"/>
  <c r="G14" i="7"/>
  <c r="C14" i="7"/>
  <c r="D13" i="7"/>
  <c r="E13" i="7"/>
  <c r="F13" i="7"/>
  <c r="G13" i="7"/>
  <c r="C13" i="7"/>
  <c r="C32" i="1"/>
  <c r="D32" i="1"/>
  <c r="E32" i="1"/>
  <c r="F32" i="1"/>
  <c r="G32" i="1"/>
  <c r="H32" i="1"/>
  <c r="I32" i="1"/>
  <c r="J32" i="1"/>
  <c r="K32" i="1"/>
  <c r="B32" i="1"/>
  <c r="D12" i="7"/>
  <c r="E12" i="7"/>
  <c r="F12" i="7"/>
  <c r="G12" i="7"/>
  <c r="C12" i="7"/>
  <c r="K31" i="1"/>
  <c r="C31" i="1"/>
  <c r="D31" i="1"/>
  <c r="E31" i="1"/>
  <c r="F31" i="1"/>
  <c r="G31" i="1"/>
  <c r="H31" i="1"/>
  <c r="I31" i="1"/>
  <c r="J31" i="1"/>
  <c r="B31" i="1"/>
  <c r="D11" i="7"/>
  <c r="E11" i="7"/>
  <c r="F11" i="7"/>
  <c r="G11" i="7"/>
  <c r="C11" i="7"/>
  <c r="C30" i="1"/>
  <c r="D30" i="1"/>
  <c r="E30" i="1"/>
  <c r="F30" i="1"/>
  <c r="G30" i="1"/>
  <c r="H30" i="1"/>
  <c r="I30" i="1"/>
  <c r="J30" i="1"/>
  <c r="K30" i="1"/>
  <c r="B30" i="1"/>
  <c r="D10" i="7"/>
  <c r="E10" i="7"/>
  <c r="F10" i="7"/>
  <c r="G10" i="7"/>
  <c r="C10" i="7"/>
  <c r="C29" i="1"/>
  <c r="D29" i="1"/>
  <c r="E29" i="1"/>
  <c r="F29" i="1"/>
  <c r="G29" i="1"/>
  <c r="H29" i="1"/>
  <c r="I29" i="1"/>
  <c r="J29" i="1"/>
  <c r="K29" i="1"/>
  <c r="B29" i="1"/>
  <c r="C28" i="1"/>
  <c r="D28" i="1"/>
  <c r="E28" i="1"/>
  <c r="F28" i="1"/>
  <c r="G28" i="1"/>
  <c r="H28" i="1"/>
  <c r="I28" i="1"/>
  <c r="J28" i="1"/>
  <c r="K28" i="1"/>
  <c r="B28" i="1"/>
  <c r="D9" i="7"/>
  <c r="E9" i="7"/>
  <c r="F9" i="7"/>
  <c r="G9" i="7"/>
  <c r="C9" i="7"/>
  <c r="D27" i="1"/>
  <c r="E27" i="1"/>
  <c r="F27" i="1"/>
  <c r="G27" i="1"/>
  <c r="H27" i="1"/>
  <c r="I27" i="1"/>
  <c r="J27" i="1"/>
  <c r="K27" i="1"/>
  <c r="C27" i="1"/>
  <c r="D8" i="7"/>
  <c r="E8" i="7"/>
  <c r="F8" i="7"/>
  <c r="G8" i="7"/>
  <c r="C8" i="7"/>
  <c r="C6" i="7" a="1"/>
  <c r="C6" i="7" s="1"/>
  <c r="C19" i="7" s="1"/>
  <c r="E1" i="6"/>
  <c r="H1" i="1" s="1"/>
  <c r="C6" i="3"/>
  <c r="D6" i="3"/>
  <c r="E6" i="3"/>
  <c r="F6" i="3"/>
  <c r="G6" i="3"/>
  <c r="H6" i="3"/>
  <c r="I6" i="3"/>
  <c r="J6" i="3"/>
  <c r="K6" i="3"/>
  <c r="B6" i="3"/>
  <c r="C5" i="1"/>
  <c r="C6" i="1" s="1"/>
  <c r="C19" i="1" s="1"/>
  <c r="D5" i="1"/>
  <c r="E5" i="1"/>
  <c r="F5" i="1"/>
  <c r="G5" i="1"/>
  <c r="H5" i="1"/>
  <c r="I5" i="1"/>
  <c r="J5" i="1"/>
  <c r="J6" i="1" s="1"/>
  <c r="J19" i="1" s="1"/>
  <c r="K5" i="1"/>
  <c r="B5" i="1"/>
  <c r="D13" i="1" s="1"/>
  <c r="E13" i="1" s="1"/>
  <c r="C13" i="1"/>
  <c r="F13" i="1"/>
  <c r="F14" i="1" s="1"/>
  <c r="G13" i="1"/>
  <c r="G14" i="1" s="1"/>
  <c r="B6" i="6"/>
  <c r="L13" i="1" s="1"/>
  <c r="C17" i="2"/>
  <c r="D17" i="2"/>
  <c r="E17" i="2"/>
  <c r="F17" i="2"/>
  <c r="G17" i="2"/>
  <c r="H17" i="2"/>
  <c r="I17" i="2"/>
  <c r="J17" i="2"/>
  <c r="J20" i="2" s="1"/>
  <c r="K17" i="2"/>
  <c r="C18" i="2"/>
  <c r="D18" i="2"/>
  <c r="E18" i="2"/>
  <c r="F18" i="2"/>
  <c r="G18" i="2"/>
  <c r="H18" i="2"/>
  <c r="I18" i="2"/>
  <c r="J18" i="2"/>
  <c r="K18" i="2"/>
  <c r="B17" i="2"/>
  <c r="C4" i="2"/>
  <c r="D4" i="2"/>
  <c r="E24" i="2" s="1"/>
  <c r="E4" i="2"/>
  <c r="E5" i="2"/>
  <c r="F4" i="2"/>
  <c r="G4" i="2"/>
  <c r="H4" i="2"/>
  <c r="I4" i="2"/>
  <c r="I23" i="2" s="1"/>
  <c r="I5" i="2"/>
  <c r="J4" i="2"/>
  <c r="J5" i="2"/>
  <c r="J23" i="2" s="1"/>
  <c r="K4" i="2"/>
  <c r="K23" i="2" s="1"/>
  <c r="C5" i="2"/>
  <c r="D5" i="2"/>
  <c r="F5" i="2"/>
  <c r="F23" i="2" s="1"/>
  <c r="G5" i="2"/>
  <c r="H5" i="2"/>
  <c r="K5" i="2"/>
  <c r="C6" i="2"/>
  <c r="D6" i="2"/>
  <c r="E6" i="2"/>
  <c r="F6" i="2"/>
  <c r="G6" i="2"/>
  <c r="H6" i="2"/>
  <c r="I6" i="2"/>
  <c r="J6" i="2"/>
  <c r="K6" i="2"/>
  <c r="C7" i="2"/>
  <c r="D7" i="2"/>
  <c r="E7" i="2"/>
  <c r="F7" i="2"/>
  <c r="G7" i="2"/>
  <c r="G16" i="2" s="1"/>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F13" i="2"/>
  <c r="G13" i="2"/>
  <c r="H13" i="2"/>
  <c r="I13" i="2"/>
  <c r="J13" i="2"/>
  <c r="K13" i="2"/>
  <c r="K16" i="2" s="1"/>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E14" i="3" s="1"/>
  <c r="F4" i="3"/>
  <c r="G4" i="3"/>
  <c r="H4" i="3"/>
  <c r="H14" i="3" s="1"/>
  <c r="I4" i="3"/>
  <c r="J4" i="3"/>
  <c r="K4" i="3"/>
  <c r="K14" i="3" s="1"/>
  <c r="C5" i="3"/>
  <c r="D5" i="3"/>
  <c r="E5" i="3"/>
  <c r="F5" i="3"/>
  <c r="G5" i="3"/>
  <c r="H5" i="3"/>
  <c r="L5" i="1" s="1"/>
  <c r="I5" i="3"/>
  <c r="J5" i="3"/>
  <c r="K5" i="3"/>
  <c r="C7" i="3"/>
  <c r="D7" i="3"/>
  <c r="E7" i="3"/>
  <c r="F7" i="3"/>
  <c r="G7" i="3"/>
  <c r="H7" i="3"/>
  <c r="I7" i="3"/>
  <c r="J7" i="3"/>
  <c r="K7" i="3"/>
  <c r="C8" i="3"/>
  <c r="D8" i="3"/>
  <c r="E8" i="3"/>
  <c r="F8" i="3"/>
  <c r="G8" i="3"/>
  <c r="H8" i="3"/>
  <c r="I8" i="3"/>
  <c r="L8" i="1" s="1"/>
  <c r="J8" i="3"/>
  <c r="K8" i="3"/>
  <c r="C9" i="3"/>
  <c r="D9" i="3"/>
  <c r="E9" i="3"/>
  <c r="F9" i="3"/>
  <c r="G9" i="3"/>
  <c r="H9" i="3"/>
  <c r="I9" i="3"/>
  <c r="J9" i="3"/>
  <c r="K9" i="3"/>
  <c r="C10" i="3"/>
  <c r="D10" i="3"/>
  <c r="E10" i="3"/>
  <c r="F10" i="3"/>
  <c r="G10" i="3"/>
  <c r="H10" i="3"/>
  <c r="L10" i="1" s="1"/>
  <c r="I10" i="3"/>
  <c r="J10" i="3"/>
  <c r="K10" i="3"/>
  <c r="C11" i="3"/>
  <c r="D11" i="3"/>
  <c r="E11" i="3"/>
  <c r="F11" i="3"/>
  <c r="G11" i="3"/>
  <c r="H11" i="3"/>
  <c r="I11" i="3"/>
  <c r="J11" i="3"/>
  <c r="L11" i="1" s="1"/>
  <c r="K11" i="3"/>
  <c r="C12" i="3"/>
  <c r="D12" i="3"/>
  <c r="E12" i="3"/>
  <c r="F12" i="3"/>
  <c r="G12" i="3"/>
  <c r="H12" i="3"/>
  <c r="L12" i="1" s="1"/>
  <c r="I12" i="3"/>
  <c r="J12" i="3"/>
  <c r="K12" i="3"/>
  <c r="B5" i="3"/>
  <c r="C18" i="1"/>
  <c r="D18" i="1"/>
  <c r="E18" i="1"/>
  <c r="F18" i="1"/>
  <c r="G18" i="1"/>
  <c r="H18" i="1"/>
  <c r="I18" i="1"/>
  <c r="J18" i="1"/>
  <c r="K18" i="1"/>
  <c r="B18" i="1"/>
  <c r="C4" i="1"/>
  <c r="D4" i="1"/>
  <c r="D20" i="2" s="1"/>
  <c r="E4" i="1"/>
  <c r="E20" i="2" s="1"/>
  <c r="F4" i="1"/>
  <c r="F20" i="2" s="1"/>
  <c r="G4" i="1"/>
  <c r="H4" i="1"/>
  <c r="I4" i="1"/>
  <c r="J4" i="1"/>
  <c r="K4" i="1"/>
  <c r="K20" i="2" s="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D12" i="1"/>
  <c r="E12" i="1"/>
  <c r="E23" i="2" s="1"/>
  <c r="F12" i="1"/>
  <c r="G12" i="1"/>
  <c r="G23" i="2" s="1"/>
  <c r="H12" i="1"/>
  <c r="H13" i="1" s="1"/>
  <c r="I12" i="1"/>
  <c r="I13" i="1" s="1"/>
  <c r="J12" i="1"/>
  <c r="J13" i="1" s="1"/>
  <c r="J14" i="1" s="1"/>
  <c r="K12" i="1"/>
  <c r="K13" i="1" s="1"/>
  <c r="C15" i="1"/>
  <c r="C14" i="1" s="1"/>
  <c r="D15" i="1"/>
  <c r="E15" i="1"/>
  <c r="F15" i="1"/>
  <c r="G15" i="1"/>
  <c r="H15" i="1"/>
  <c r="I15" i="1"/>
  <c r="J15" i="1"/>
  <c r="K15" i="1"/>
  <c r="B15" i="1"/>
  <c r="B7" i="1"/>
  <c r="B4" i="1"/>
  <c r="B20" i="2" s="1"/>
  <c r="A1" i="1"/>
  <c r="A1" i="3" s="1"/>
  <c r="H16" i="2"/>
  <c r="D16" i="2"/>
  <c r="C16" i="2"/>
  <c r="F16" i="2"/>
  <c r="B23" i="2"/>
  <c r="H23" i="2"/>
  <c r="D23" i="2"/>
  <c r="G6" i="1"/>
  <c r="G19" i="1" s="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F14" i="3"/>
  <c r="B12" i="3"/>
  <c r="B11" i="3"/>
  <c r="B10" i="3"/>
  <c r="B9" i="3"/>
  <c r="B8" i="3"/>
  <c r="B7" i="3"/>
  <c r="B4" i="3"/>
  <c r="B3" i="3"/>
  <c r="L15" i="1"/>
  <c r="B12" i="1"/>
  <c r="B13" i="1" s="1"/>
  <c r="B11" i="1"/>
  <c r="B10" i="1"/>
  <c r="B9" i="1"/>
  <c r="B8" i="1"/>
  <c r="B3" i="1"/>
  <c r="I14" i="3"/>
  <c r="G14" i="3"/>
  <c r="G20" i="2"/>
  <c r="C20" i="2"/>
  <c r="L6" i="1"/>
  <c r="H23" i="1"/>
  <c r="I23" i="1"/>
  <c r="E19" i="7" l="1"/>
  <c r="G19" i="7"/>
  <c r="F19" i="7"/>
  <c r="D19" i="7"/>
  <c r="L14" i="1"/>
  <c r="L25" i="1" s="1"/>
  <c r="N11" i="1"/>
  <c r="M11" i="1"/>
  <c r="K14" i="1"/>
  <c r="E1" i="3"/>
  <c r="I16" i="2"/>
  <c r="K24" i="2"/>
  <c r="B14" i="3"/>
  <c r="D6" i="1"/>
  <c r="D19" i="1" s="1"/>
  <c r="H24" i="1" s="1"/>
  <c r="E6" i="1"/>
  <c r="E19" i="1" s="1"/>
  <c r="E1" i="2"/>
  <c r="I14" i="1"/>
  <c r="K25" i="1" s="1"/>
  <c r="M25" i="1" s="1"/>
  <c r="M14" i="1" s="1"/>
  <c r="C24" i="2"/>
  <c r="H14" i="1"/>
  <c r="J16" i="2"/>
  <c r="L7" i="1"/>
  <c r="J23" i="1"/>
  <c r="J24" i="2"/>
  <c r="I24" i="2"/>
  <c r="H24" i="2"/>
  <c r="B16" i="2"/>
  <c r="K6" i="1"/>
  <c r="K19" i="1" s="1"/>
  <c r="G24" i="2"/>
  <c r="D24" i="2"/>
  <c r="L9" i="1"/>
  <c r="M9" i="1" s="1"/>
  <c r="E16" i="2"/>
  <c r="A1" i="2"/>
  <c r="A1" i="4" s="1"/>
  <c r="C23" i="2"/>
  <c r="E14" i="1"/>
  <c r="B14" i="1"/>
  <c r="D14" i="1"/>
  <c r="L4" i="1"/>
  <c r="L23" i="1" s="1"/>
  <c r="N23" i="1" s="1"/>
  <c r="N4" i="1" s="1"/>
  <c r="I6" i="1"/>
  <c r="I19" i="1" s="1"/>
  <c r="I24" i="1" s="1"/>
  <c r="F24" i="2"/>
  <c r="J25" i="1"/>
  <c r="N9" i="1"/>
  <c r="N8" i="1"/>
  <c r="M8" i="1"/>
  <c r="H25" i="1"/>
  <c r="I25" i="1"/>
  <c r="I20" i="2"/>
  <c r="H20" i="2"/>
  <c r="K23" i="1"/>
  <c r="H6" i="1"/>
  <c r="H19" i="1" s="1"/>
  <c r="F6" i="1"/>
  <c r="F19" i="1" s="1"/>
  <c r="E1" i="4"/>
  <c r="N25" i="1" l="1"/>
  <c r="N14" i="1" s="1"/>
  <c r="L19" i="1"/>
  <c r="L24" i="1" s="1"/>
  <c r="K24" i="1"/>
  <c r="M24" i="1" s="1"/>
  <c r="J24" i="1"/>
  <c r="N24" i="1" s="1"/>
  <c r="N6" i="1" s="1"/>
  <c r="M23" i="1"/>
  <c r="M4" i="1" s="1"/>
  <c r="M6" i="1"/>
  <c r="M10" i="1" s="1"/>
  <c r="M12" i="1" s="1"/>
  <c r="M13" i="1" s="1"/>
  <c r="M15" i="1" s="1"/>
  <c r="N10" i="1" l="1"/>
  <c r="N12" i="1" s="1"/>
  <c r="N13" i="1" s="1"/>
  <c r="N5" i="1"/>
  <c r="N15" i="1"/>
  <c r="M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<sst xmlns="http://schemas.openxmlformats.org/spreadsheetml/2006/main" count="250" uniqueCount="192">
  <si>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</si>
  <si>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</si>
  <si>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</si>
  <si>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</si>
  <si>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</si>
  <si>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</si>
  <si>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</si>
  <si>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</si>
  <si>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</si>
  <si>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</si>
  <si>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</si>
  <si>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</si>
  <si>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</si>
  <si>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</si>
  <si>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</si>
  <si>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</si>
  <si>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</si>
  <si>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</si>
  <si>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</si>
  <si>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</si>
  <si>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</si>
  <si>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</si>
  <si>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</si>
  <si>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</si>
  <si>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</si>
  <si>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</si>
  <si>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</si>
  <si>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</si>
  <si>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</si>
  <si>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</si>
  <si>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</si>
  <si>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</si>
  <si>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</si>
  <si>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</si>
  <si>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</si>
  <si>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</si>
  <si>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</si>
  <si>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</si>
  <si>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</si>
  <si>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</si>
  <si>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</si>
  <si>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</si>
  <si>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</si>
  <si>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</si>
  <si>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</si>
  <si>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</si>
  <si>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</si>
  <si>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</si>
  <si>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EPS</t>
  </si>
  <si>
    <t>Price</t>
  </si>
  <si>
    <t>Return on Equity</t>
  </si>
  <si>
    <t>Return on Capital Emp</t>
  </si>
  <si>
    <t>LATEST VERSION</t>
  </si>
  <si>
    <t>CURRENT VERSION</t>
  </si>
  <si>
    <t>AXIS BANK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</si>
  <si>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</si>
  <si>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</si>
  <si>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</si>
  <si>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</si>
  <si>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</si>
  <si>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</si>
  <si>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</si>
  <si>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</si>
  <si>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</si>
  <si>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</si>
  <si>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</si>
  <si>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</si>
  <si>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</si>
  <si>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</si>
  <si>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</si>
  <si>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</si>
  <si>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</si>
  <si>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</si>
  <si>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</si>
  <si>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</si>
  <si>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</si>
  <si>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</si>
  <si>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</si>
  <si>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</si>
  <si>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</si>
  <si>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</si>
  <si>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DESCRIPTION</t>
  </si>
  <si>
    <t>KEY FINANCIAL METRICS</t>
  </si>
  <si>
    <t>AXIS BANK LTD - ONE PAGE PROFILE</t>
  </si>
  <si>
    <t>TOTAL SALES</t>
  </si>
  <si>
    <t>INR (CR)</t>
  </si>
  <si>
    <t>SALES GROWTH (Y-O-Y)</t>
  </si>
  <si>
    <t>SALES GROWTH Y-O-Y</t>
  </si>
  <si>
    <t>GROSS PROFIT</t>
  </si>
  <si>
    <t>GPM</t>
  </si>
  <si>
    <t xml:space="preserve">EBITDA MARGIN </t>
  </si>
  <si>
    <t>EBIT MARGIN</t>
  </si>
  <si>
    <t>NET PROFIT MARGIN</t>
  </si>
  <si>
    <t>EARNINGS PER SHARE (IN RS)</t>
  </si>
  <si>
    <t>EPS GROWTH (Y-O-Y%)</t>
  </si>
  <si>
    <t>EPS GROWTH</t>
  </si>
  <si>
    <t>DIVIDEND PER SHARE</t>
  </si>
  <si>
    <t>DIVIDEND GROWTH</t>
  </si>
  <si>
    <t>NET MARGIN PROFIT (%)</t>
  </si>
  <si>
    <t>EBIT MARGIN (%)</t>
  </si>
  <si>
    <t>EBITDA MARGIN (%)</t>
  </si>
  <si>
    <t>GROSS PROFIT MARGIN (%)</t>
  </si>
  <si>
    <t>DPS GROWTH (%)</t>
  </si>
  <si>
    <t>Date</t>
  </si>
  <si>
    <t>Volume</t>
  </si>
  <si>
    <t>SHARE PRICE-5Y</t>
  </si>
  <si>
    <t>MARKET CAPITALIZATION</t>
  </si>
  <si>
    <t>DEBT</t>
  </si>
  <si>
    <t>CASH</t>
  </si>
  <si>
    <t>EV</t>
  </si>
  <si>
    <t>EV /EBITDA</t>
  </si>
  <si>
    <t>EV/SALES</t>
  </si>
  <si>
    <t>BOOK VALUE</t>
  </si>
  <si>
    <t>P/B</t>
  </si>
  <si>
    <t>KEY FINANCIAL RATIOS</t>
  </si>
  <si>
    <t>PRICE TO EARNINGS</t>
  </si>
  <si>
    <t>EV/EBITDA</t>
  </si>
  <si>
    <t>PRICE TO BOOK VALUE</t>
  </si>
  <si>
    <t>RETURN ON EQUITY(%)</t>
  </si>
  <si>
    <t>RETURN ON CAPITAL EMPLOYED(%)</t>
  </si>
  <si>
    <t>VOLUME-5Y</t>
  </si>
  <si>
    <t>Shareholder's name</t>
  </si>
  <si>
    <t>LIFE INSURANCE CORPORATION OF INDIA</t>
  </si>
  <si>
    <t>DODGE AND COX INTERNATIONAL STOCK FUND</t>
  </si>
  <si>
    <t>GOVERNMENT PENSION FUND GLOBAL</t>
  </si>
  <si>
    <t>GOVERNMENT OF SINGAPORE</t>
  </si>
  <si>
    <t>TOP 10 SHAREHOLDERS</t>
  </si>
  <si>
    <t>SHAREHOLDINGS(%)</t>
  </si>
  <si>
    <t xml:space="preserve">N.SHARES(IN CR) </t>
  </si>
  <si>
    <t>MARKET VALUE (IN CR)</t>
  </si>
  <si>
    <t>NO.OF SHARES(IN CR)</t>
  </si>
  <si>
    <t>% HOLDINGS</t>
  </si>
  <si>
    <t>ICICI PRUDENTIAL - THROUGH ITS VARIOUS SCHEMES</t>
  </si>
  <si>
    <t>SBI - THROUGH ITS VARIOUS SCHEMES</t>
  </si>
  <si>
    <t>HDFC - THROUGH ITS VARIOUS SCHEMES</t>
  </si>
  <si>
    <t>NIPPON- THROUGH ITS VARIOUS SCHEMES</t>
  </si>
  <si>
    <t>NPS TRUST - THROUGH ITS VARIOUS SCHEMES</t>
  </si>
  <si>
    <t>UTI -THROUGH ITS VARIOUS SCHEMES</t>
  </si>
  <si>
    <t>FII</t>
  </si>
  <si>
    <t>DII</t>
  </si>
  <si>
    <t>PUBLIC</t>
  </si>
  <si>
    <t>PROMOTER</t>
  </si>
  <si>
    <t>SHAREHOLDING PATTERN</t>
  </si>
  <si>
    <t>CAPITAL STRUCTURE</t>
  </si>
  <si>
    <t>SHARE PRICE AS ON 25-12-2025</t>
  </si>
  <si>
    <t>NUMBER OF SHARES O/S</t>
  </si>
  <si>
    <t>LESS:CASH &amp;EQUIVALENTS</t>
  </si>
  <si>
    <t>ADD:TOTAL DEBT</t>
  </si>
  <si>
    <t>ADD:MINORITY INTEREST</t>
  </si>
  <si>
    <t>ENTERPRISE VALUE</t>
  </si>
  <si>
    <t>DESIGNATION</t>
  </si>
  <si>
    <t>X OF MEDIAN SALARY</t>
  </si>
  <si>
    <t>MANAGERIAL REMUNERATION</t>
  </si>
  <si>
    <t>AMITABH CHOUDHRY</t>
  </si>
  <si>
    <t>MD &amp; CEO</t>
  </si>
  <si>
    <t>RAJIV ANAND</t>
  </si>
  <si>
    <t>DEPUTY MD</t>
  </si>
  <si>
    <t>SUBRAT MOHANTY</t>
  </si>
  <si>
    <t>EXC.DIRECTOR</t>
  </si>
  <si>
    <t>MUNISH SHARDA</t>
  </si>
  <si>
    <t xml:space="preserve">PUNEET SHARMA </t>
  </si>
  <si>
    <t>CFO</t>
  </si>
  <si>
    <t>SANDEEP PODDAR</t>
  </si>
  <si>
    <t>C.S</t>
  </si>
  <si>
    <t>REMUNERATION (IN CR)</t>
  </si>
  <si>
    <t>AXIS BANK LIMITED, FORMERLY KNOWN AS UTI BANK (1993–2007), IS AN INDIAN MULTINATIONAL BANKING AND FINANCIAL SERVICES COMPANY HEADQUARTERED IN MUMBAI. IT IS INDIA'S THIRD LARGEST PRIVATE SECTOR BANK BY ASSETS AND FOURTH LARGEST BY MARKET CAPITALISATION. IT SELLS FINANCIAL SERVICES TO LARGE AND MID-SIZE COMPANIES, SMES AND RETAIL BUSINESSES.</t>
  </si>
  <si>
    <t>RECENT UPDATES</t>
  </si>
  <si>
    <t xml:space="preserve">2.AXIS BANK, ONE OF THE LARGEST PRIVATE SECTOR BANK IN INDIA , HAS DEEPENED ITS COMMITMENT TO ADVANCING TECHNOLOGY EDUCATION AND RESEARCH WITH THE LAUNCH </t>
  </si>
  <si>
    <t xml:space="preserve">   OF THE 'AXIS BANK FUTURETECH CSR INITIATIVE ' AT  PLAKSHA UNIVERSITY </t>
  </si>
  <si>
    <t>1.AXIS BANK AND GOOGLE JOINED FORCES TO LAUNCH THE GOOGLE PAY FLEX AXIS BANK CREDIT BANK, A UPI-POWERED CO-BRANDED CREDIT CARD DESIGNED TO SIMPLIFY AND</t>
  </si>
  <si>
    <t xml:space="preserve">    ELEVATE THE ENTIRE CARD EXPERIENCE FOR INDIA'S FINANCIAL NEEDS.</t>
  </si>
  <si>
    <t xml:space="preserve">3.AXIS BANK HAS PARTNER WITH HITACHI PAYMENTS SERVICES , A LEADING END-TO-END PAYMENTS AND COMMERCE SOLUTIONS PROVIDER , TO UNVEIL 'EXPRESS BANKING', THE </t>
  </si>
  <si>
    <t xml:space="preserve">   COUNTRY'S FIRST EVER BANKING POINT.</t>
  </si>
  <si>
    <t xml:space="preserve">SOURCES </t>
  </si>
  <si>
    <t>COMPANY WEBSITE</t>
  </si>
  <si>
    <t>https://www.axis.bank.in/</t>
  </si>
  <si>
    <t>BSE INDIA</t>
  </si>
  <si>
    <t>https://www.bseindia.com/</t>
  </si>
  <si>
    <t>NSE INDIA</t>
  </si>
  <si>
    <t>https://www.nseindia.com/</t>
  </si>
  <si>
    <t>SCREENER</t>
  </si>
  <si>
    <t>https://www.screener.in/</t>
  </si>
  <si>
    <t>YAHOO FINANCE</t>
  </si>
  <si>
    <t>https://finance.yahoo.com/markets/?fr=sycsrp_catchall</t>
  </si>
  <si>
    <t>EQUITY MASTER</t>
  </si>
  <si>
    <t>https://www.equitymaster.com/</t>
  </si>
  <si>
    <t>DISCLAIMER</t>
  </si>
  <si>
    <t>THIS DOCUMENT DOESN'T CONSTITUTE A SOLICITATION FOR PURCHASE/SALE OF ANY FINANCIAL INSTRUMENT.</t>
  </si>
  <si>
    <t>THIS DOCUMENT HAS BEEN PREPARED OF AN ACADEMIC PROJECT AND IS INTENDED SOLELY FOR EDUCATIONAL PURPOSE.</t>
  </si>
  <si>
    <t>BY SANDESH ALDAR</t>
  </si>
  <si>
    <t>THE INFORMATION CONTAINED HEREIN HAS BEEN OBTAINED FROM PUBLICLY AVAILBLE SOURCES THAT ARE BELIEVED TO BE REALIABLE.</t>
  </si>
  <si>
    <t>retained 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</si>
</sst>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 #,##0.00_ ;_ * \-#,##0.00_ ;_ * &quot;-&quot;??_ ;_ @_ "/>
    <numFmt numFmtId="164" formatCode="_(* #,##0.00_);_(* \(#,##0.00\);_(* &quot;-&quot;??_);_(@_)"/>
    <numFmt numFmtId="165" formatCode="[$-409]mmm\-yy;@"/>
    <numFmt numFmtId="166" formatCode="0.0%"/>
    <numFmt numFmtId="167" formatCode="0.00000%"/>
    <numFmt numFmtId="168" formatCode="#,##0.00_ ;\-#,##0.00\ "/>
    <numFmt numFmtId="169" formatCode="0.000%"/>
    <numFmt numFmtId="170" formatCode="_ [$₹-4009]\ * #,##0_ ;_ [$₹-4009]\ * \-#,##0_ ;_ [$₹-4009]\ * &quot;-&quot;??_ ;_ @_ "/>
    <numFmt numFmtId="171" formatCode="_ * #,##0.000_ ;_ * \-#,##0.000_ ;_ * &quot;-&quot;??_ ;_ @_ "/>
    <numFmt numFmtId="172" formatCode="0.000"/>
    <numFmt numFmtId="173" formatCode="&quot;₹&quot;\ #,##0.00"/>
    <numFmt numFmtId="174" formatCode="&quot;₹&quot;\ #,##0"/>
    <numFmt numFmtId="175" formatCode="_ * #,##0_ ;_ * \-#,##0_ ;_ * &quot;-&quot;??_ ;_ @_ "/>
    <numFmt numFmtId="176" formatCode="0.00&quot;X&quot;"/>
    <numFmt numFmtId="177" formatCode="#,##0;\(#,##0\)"/>
    <numFmt numFmtId="178" formatCode="0&quot;x&quot;"/>
  </numFmts>
  <fonts count="18">
    <font>
      <sz val="11"/>
      <color theme="1"/>
      <name val="Calibri"/>
      <family val="2"/>
      <scheme val="minor"/>
    </font>
    <font>
      <sz val="11"/>
      <color theme="1"/>
      <name val="calibri"/>
      <family val="2"/>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sz val="11"/>
      <color rgb="FFFF0000"/>
      <name val="Calibri"/>
      <family val="2"/>
      <scheme val="minor"/>
    </font>
    <font>
      <sz val="11"/>
      <name val="Calibri"/>
      <family val="2"/>
      <scheme val="minor"/>
    </font>
    <font>
      <b/>
      <sz val="12"/>
      <color theme="0"/>
      <name val="Calibri"/>
      <family val="2"/>
      <scheme val="minor"/>
    </font>
    <font>
      <b/>
      <sz val="14"/>
      <color theme="0"/>
      <name val="Calibri"/>
      <family val="2"/>
      <scheme val="minor"/>
    </font>
    <font>
      <i/>
      <sz val="8"/>
      <color theme="1"/>
      <name val="Calibri"/>
      <family val="2"/>
      <scheme val="minor"/>
    </font>
    <font>
      <i/>
      <sz val="11"/>
      <color theme="1"/>
      <name val="Calibri"/>
      <family val="2"/>
      <scheme val="minor"/>
    </font>
    <font>
      <b/>
      <sz val="11"/>
      <color theme="1"/>
      <name val="calibri"/>
      <family val="2"/>
    </font>
    <font>
      <b/>
      <sz val="8"/>
      <color rgb="FF000000"/>
      <name val="Inherit"/>
    </font>
    <font>
      <sz val="8"/>
      <color rgb="FF000000"/>
      <name val="Arial"/>
      <family val="2"/>
    </font>
    <font>
      <sz val="12"/>
      <color theme="1"/>
      <name val="Aptos"/>
      <family val="2"/>
    </font>
    <font>
      <b/>
      <sz val="12"/>
      <color theme="1"/>
      <name val="Calibri"/>
      <family val="2"/>
      <scheme val="minor"/>
    </font>
  </fonts>
  <fills count="11">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theme="5" tint="-0.249977111117893"/>
        <bgColor indexed="64"/>
      </patternFill>
    </fill>
    <fill>
      <patternFill patternType="solid">
        <fgColor theme="0"/>
        <bgColor indexed="64"/>
      </patternFill>
    </fill>
    <fill>
      <patternFill patternType="solid">
        <fgColor rgb="FFFFFFFF"/>
        <bgColor indexed="64"/>
      </patternFill>
    </fill>
    <fill>
      <patternFill patternType="solid">
        <fgColor rgb="FFEEEEEE"/>
        <bgColor indexed="64"/>
      </patternFill>
    </fill>
    <fill>
      <patternFill patternType="solid">
        <fgColor theme="0" tint="-0.249977111117893"/>
        <bgColor indexed="64"/>
      </patternFill>
    </fill>
  </fills>
  <borders count="10">
    <border>
      <left/>
      <right/>
      <top/>
      <bottom/>
      <diagonal/>
    </border>
    <border>
      <left/>
      <right/>
      <top/>
      <bottom style="hair">
        <color theme="0" tint="-0.34998626667073579"/>
      </bottom>
      <diagonal/>
    </border>
    <border>
      <left style="medium">
        <color rgb="FFDDDDDD"/>
      </left>
      <right/>
      <top style="medium">
        <color rgb="FFDDDDDD"/>
      </top>
      <bottom style="medium">
        <color rgb="FFDDDDDD"/>
      </bottom>
      <diagonal/>
    </border>
    <border>
      <left style="medium">
        <color rgb="FFDDDDDD"/>
      </left>
      <right/>
      <top/>
      <bottom style="medium">
        <color rgb="FFDDDDDD"/>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bottom style="medium">
        <color rgb="FFDDDDDD"/>
      </bottom>
      <diagonal/>
    </border>
    <border>
      <left/>
      <right/>
      <top style="hair">
        <color auto="1"/>
      </top>
      <bottom style="hair">
        <color auto="1"/>
      </bottom>
      <diagonal/>
    </border>
    <border>
      <left/>
      <right/>
      <top style="thin">
        <color indexed="64"/>
      </top>
      <bottom style="medium">
        <color indexed="64"/>
      </bottom>
      <diagonal/>
    </border>
    <border>
      <left/>
      <right/>
      <top style="hair">
        <color auto="1"/>
      </top>
      <bottom/>
      <diagonal/>
    </border>
    <border>
      <left/>
      <right/>
      <top/>
      <bottom style="hair">
        <color auto="1"/>
      </bottom>
      <diagonal/>
    </border>
  </borders>
  <cellStyleXfs count="7">
    <xf numFmtId="0" fontId="0" fillId="0" borderId="0"/>
    <xf numFmtId="43" fontId="4" fillId="0" borderId="0" applyFont="0" applyFill="0" applyBorder="0" applyAlignment="0" applyProtection="0"/>
    <xf numFmtId="0" fontId="5" fillId="0" borderId="0" applyNumberFormat="0" applyFill="0" applyBorder="0" applyAlignment="0" applyProtection="0">
      <alignment vertical="top"/>
      <protection locked="0"/>
    </xf>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9" fontId="4" fillId="0" borderId="0" applyFont="0" applyFill="0" applyBorder="0" applyAlignment="0" applyProtection="0"/>
  </cellStyleXfs>
  <cellXfs count="104">
    <xf numFmtId="0" fontId="0" fillId="0" borderId="0" xfId="0"/>
    <xf numFmtId="43" fontId="2" fillId="0" borderId="0" xfId="1" applyFont="1" applyBorder="1"/>
    <xf numFmtId="0" fontId="2" fillId="0" borderId="0" xfId="0" applyFont="1"/>
    <xf numFmtId="0" fontId="7" fillId="0" borderId="0" xfId="0" applyFont="1"/>
    <xf numFmtId="43" fontId="0" fillId="0" borderId="0" xfId="1" applyFont="1" applyBorder="1"/>
    <xf numFmtId="10" fontId="0" fillId="0" borderId="0" xfId="0" applyNumberFormat="1"/>
    <xf numFmtId="43" fontId="4" fillId="0" borderId="0" xfId="1" applyFont="1" applyBorder="1"/>
    <xf numFmtId="9" fontId="4" fillId="0" borderId="0" xfId="1" applyNumberFormat="1" applyFont="1" applyBorder="1"/>
    <xf numFmtId="43" fontId="3" fillId="2" borderId="0" xfId="3" applyNumberFormat="1" applyFont="1" applyBorder="1"/>
    <xf numFmtId="43" fontId="3" fillId="3" borderId="0" xfId="4" applyNumberFormat="1" applyFont="1" applyBorder="1"/>
    <xf numFmtId="9" fontId="2" fillId="0" borderId="0" xfId="6" applyFont="1" applyBorder="1"/>
    <xf numFmtId="0" fontId="3" fillId="5" borderId="0" xfId="0" applyFont="1" applyFill="1"/>
    <xf numFmtId="165" fontId="3" fillId="5" borderId="0" xfId="0" applyNumberFormat="1" applyFont="1" applyFill="1" applyAlignment="1">
      <alignment horizontal="center"/>
    </xf>
    <xf numFmtId="0" fontId="3" fillId="5" borderId="0" xfId="0" applyFont="1" applyFill="1" applyAlignment="1">
      <alignment horizontal="center"/>
    </xf>
    <xf numFmtId="43" fontId="0" fillId="0" borderId="0" xfId="1" applyFont="1" applyBorder="1" applyAlignment="1">
      <alignment horizontal="center"/>
    </xf>
    <xf numFmtId="43" fontId="2" fillId="0" borderId="0" xfId="1" applyFont="1" applyBorder="1" applyAlignment="1">
      <alignment horizontal="center"/>
    </xf>
    <xf numFmtId="10" fontId="2" fillId="0" borderId="0" xfId="0" applyNumberFormat="1" applyFont="1"/>
    <xf numFmtId="165" fontId="3" fillId="5" borderId="0" xfId="1" applyNumberFormat="1" applyFont="1" applyFill="1" applyBorder="1"/>
    <xf numFmtId="165" fontId="8" fillId="0" borderId="0" xfId="1" applyNumberFormat="1" applyFont="1" applyFill="1" applyBorder="1"/>
    <xf numFmtId="0" fontId="0" fillId="0" borderId="0" xfId="0" applyAlignment="1">
      <alignment horizontal="left"/>
    </xf>
    <xf numFmtId="0" fontId="8" fillId="0" borderId="0" xfId="0" applyFont="1"/>
    <xf numFmtId="164" fontId="0" fillId="0" borderId="0" xfId="1" applyNumberFormat="1" applyFont="1" applyBorder="1"/>
    <xf numFmtId="0" fontId="10" fillId="7" borderId="0" xfId="0" applyFont="1" applyFill="1" applyAlignment="1">
      <alignment horizontal="center"/>
    </xf>
    <xf numFmtId="0" fontId="0" fillId="7" borderId="0" xfId="0" applyFill="1"/>
    <xf numFmtId="0" fontId="0" fillId="0" borderId="1" xfId="0" applyBorder="1"/>
    <xf numFmtId="0" fontId="9" fillId="6" borderId="0" xfId="0" applyFont="1" applyFill="1"/>
    <xf numFmtId="43" fontId="0" fillId="0" borderId="0" xfId="0" applyNumberFormat="1"/>
    <xf numFmtId="4" fontId="0" fillId="0" borderId="0" xfId="0" applyNumberFormat="1"/>
    <xf numFmtId="0" fontId="11" fillId="0" borderId="0" xfId="0" applyFont="1"/>
    <xf numFmtId="166" fontId="0" fillId="0" borderId="0" xfId="6" applyNumberFormat="1" applyFont="1"/>
    <xf numFmtId="10" fontId="0" fillId="0" borderId="0" xfId="6" applyNumberFormat="1" applyFont="1"/>
    <xf numFmtId="167" fontId="0" fillId="0" borderId="0" xfId="6" applyNumberFormat="1" applyFont="1"/>
    <xf numFmtId="168" fontId="0" fillId="0" borderId="0" xfId="0" applyNumberFormat="1"/>
    <xf numFmtId="0" fontId="13" fillId="0" borderId="0" xfId="0" applyFont="1" applyAlignment="1">
      <alignment horizontal="center" vertical="center" wrapText="1"/>
    </xf>
    <xf numFmtId="15" fontId="0" fillId="0" borderId="0" xfId="0" applyNumberFormat="1" applyAlignment="1">
      <alignment wrapText="1"/>
    </xf>
    <xf numFmtId="0" fontId="13" fillId="0" borderId="0" xfId="0" applyFont="1" applyAlignment="1">
      <alignment wrapText="1"/>
    </xf>
    <xf numFmtId="0" fontId="0" fillId="0" borderId="0" xfId="0" applyAlignment="1">
      <alignment wrapText="1"/>
    </xf>
    <xf numFmtId="10" fontId="13" fillId="0" borderId="0" xfId="0" applyNumberFormat="1" applyFont="1" applyAlignment="1">
      <alignment wrapText="1"/>
    </xf>
    <xf numFmtId="17" fontId="9" fillId="6" borderId="0" xfId="0" applyNumberFormat="1" applyFont="1" applyFill="1"/>
    <xf numFmtId="172" fontId="0" fillId="0" borderId="0" xfId="0" applyNumberFormat="1"/>
    <xf numFmtId="2" fontId="0" fillId="0" borderId="0" xfId="0" applyNumberFormat="1"/>
    <xf numFmtId="173" fontId="0" fillId="0" borderId="0" xfId="0" applyNumberFormat="1"/>
    <xf numFmtId="174" fontId="0" fillId="0" borderId="0" xfId="0" applyNumberFormat="1"/>
    <xf numFmtId="175" fontId="0" fillId="0" borderId="0" xfId="0" applyNumberFormat="1"/>
    <xf numFmtId="2" fontId="13" fillId="0" borderId="0" xfId="0" applyNumberFormat="1" applyFont="1" applyAlignment="1">
      <alignment horizontal="center" vertical="center" wrapText="1"/>
    </xf>
    <xf numFmtId="0" fontId="14" fillId="9" borderId="2" xfId="0" applyFont="1" applyFill="1" applyBorder="1" applyAlignment="1">
      <alignment horizontal="left" vertical="center" wrapText="1" indent="1"/>
    </xf>
    <xf numFmtId="0" fontId="14" fillId="9" borderId="2" xfId="0" applyFont="1" applyFill="1" applyBorder="1" applyAlignment="1">
      <alignment horizontal="right" vertical="center" wrapText="1" indent="1"/>
    </xf>
    <xf numFmtId="0" fontId="15" fillId="8" borderId="3" xfId="0" applyFont="1" applyFill="1" applyBorder="1" applyAlignment="1">
      <alignment horizontal="left" vertical="center" wrapText="1" indent="1"/>
    </xf>
    <xf numFmtId="3" fontId="15" fillId="8" borderId="3" xfId="0" applyNumberFormat="1" applyFont="1" applyFill="1" applyBorder="1" applyAlignment="1">
      <alignment horizontal="right" vertical="center" wrapText="1" indent="1"/>
    </xf>
    <xf numFmtId="0" fontId="15" fillId="8" borderId="3" xfId="0" applyFont="1" applyFill="1" applyBorder="1" applyAlignment="1">
      <alignment horizontal="right" vertical="center" wrapText="1" indent="1"/>
    </xf>
    <xf numFmtId="0" fontId="14" fillId="9" borderId="4" xfId="0" applyFont="1" applyFill="1" applyBorder="1" applyAlignment="1">
      <alignment horizontal="right" vertical="center" wrapText="1" indent="1"/>
    </xf>
    <xf numFmtId="17" fontId="15" fillId="8" borderId="5" xfId="0" applyNumberFormat="1" applyFont="1" applyFill="1" applyBorder="1" applyAlignment="1">
      <alignment horizontal="right" vertical="center" wrapText="1" indent="1"/>
    </xf>
    <xf numFmtId="0" fontId="0" fillId="0" borderId="0" xfId="0" applyAlignment="1">
      <alignment horizontal="left" vertical="center"/>
    </xf>
    <xf numFmtId="0" fontId="0" fillId="0" borderId="0" xfId="0" applyAlignment="1">
      <alignment horizontal="right" vertical="center"/>
    </xf>
    <xf numFmtId="0" fontId="3" fillId="6" borderId="0" xfId="0" applyFont="1" applyFill="1" applyAlignment="1">
      <alignment horizontal="center" wrapText="1"/>
    </xf>
    <xf numFmtId="0" fontId="3" fillId="7" borderId="0" xfId="0" applyFont="1" applyFill="1"/>
    <xf numFmtId="0" fontId="0" fillId="0" borderId="6" xfId="0" applyBorder="1"/>
    <xf numFmtId="170" fontId="0" fillId="0" borderId="6" xfId="1" applyNumberFormat="1" applyFont="1" applyBorder="1"/>
    <xf numFmtId="0" fontId="12" fillId="0" borderId="6" xfId="0" applyFont="1" applyBorder="1"/>
    <xf numFmtId="169" fontId="12" fillId="0" borderId="6" xfId="0" applyNumberFormat="1" applyFont="1" applyBorder="1"/>
    <xf numFmtId="169" fontId="0" fillId="0" borderId="6" xfId="0" applyNumberFormat="1" applyBorder="1"/>
    <xf numFmtId="171" fontId="0" fillId="0" borderId="6" xfId="0" applyNumberFormat="1" applyBorder="1"/>
    <xf numFmtId="169" fontId="0" fillId="0" borderId="6" xfId="6" applyNumberFormat="1" applyFont="1" applyBorder="1"/>
    <xf numFmtId="2" fontId="0" fillId="0" borderId="6" xfId="6" applyNumberFormat="1" applyFont="1" applyBorder="1"/>
    <xf numFmtId="176" fontId="0" fillId="0" borderId="6" xfId="0" applyNumberFormat="1" applyBorder="1"/>
    <xf numFmtId="10" fontId="0" fillId="0" borderId="6" xfId="0" applyNumberFormat="1" applyBorder="1"/>
    <xf numFmtId="3" fontId="0" fillId="0" borderId="6" xfId="0" applyNumberFormat="1" applyBorder="1" applyAlignment="1">
      <alignment horizontal="right"/>
    </xf>
    <xf numFmtId="10" fontId="0" fillId="0" borderId="6" xfId="6" applyNumberFormat="1" applyFont="1" applyBorder="1" applyAlignment="1">
      <alignment horizontal="right"/>
    </xf>
    <xf numFmtId="0" fontId="16" fillId="0" borderId="0" xfId="0" applyFont="1" applyAlignment="1">
      <alignment vertical="center"/>
    </xf>
    <xf numFmtId="0" fontId="0" fillId="0" borderId="6" xfId="0" applyBorder="1" applyAlignment="1">
      <alignment horizontal="left"/>
    </xf>
    <xf numFmtId="0" fontId="3" fillId="6" borderId="0" xfId="0" applyFont="1" applyFill="1" applyAlignment="1">
      <alignment horizontal="right" wrapText="1"/>
    </xf>
    <xf numFmtId="3" fontId="0" fillId="0" borderId="8" xfId="0" applyNumberFormat="1" applyBorder="1" applyAlignment="1">
      <alignment horizontal="right"/>
    </xf>
    <xf numFmtId="177" fontId="0" fillId="0" borderId="9" xfId="0" applyNumberFormat="1" applyBorder="1" applyAlignment="1">
      <alignment horizontal="right"/>
    </xf>
    <xf numFmtId="3" fontId="2" fillId="0" borderId="7" xfId="0" applyNumberFormat="1" applyFont="1" applyBorder="1" applyAlignment="1">
      <alignment horizontal="right"/>
    </xf>
    <xf numFmtId="1" fontId="0" fillId="0" borderId="8" xfId="0" applyNumberFormat="1" applyBorder="1"/>
    <xf numFmtId="3" fontId="2" fillId="0" borderId="7" xfId="0" applyNumberFormat="1" applyFont="1" applyBorder="1"/>
    <xf numFmtId="0" fontId="0" fillId="6" borderId="0" xfId="0" applyFill="1"/>
    <xf numFmtId="0" fontId="1" fillId="0" borderId="0" xfId="2" applyFont="1" applyAlignment="1" applyProtection="1"/>
    <xf numFmtId="0" fontId="17" fillId="0" borderId="0" xfId="0" applyFont="1"/>
    <xf numFmtId="43" fontId="0" fillId="10" borderId="0" xfId="1" applyFont="1" applyFill="1" applyBorder="1"/>
    <xf numFmtId="165" fontId="3" fillId="10" borderId="0" xfId="0" applyNumberFormat="1" applyFont="1" applyFill="1" applyAlignment="1">
      <alignment horizontal="center"/>
    </xf>
    <xf numFmtId="0" fontId="0" fillId="10" borderId="0" xfId="0" applyFill="1"/>
    <xf numFmtId="43" fontId="4" fillId="10" borderId="0" xfId="1" applyFont="1" applyFill="1" applyBorder="1"/>
    <xf numFmtId="43" fontId="2" fillId="10" borderId="0" xfId="1" applyFont="1" applyFill="1" applyBorder="1"/>
    <xf numFmtId="164" fontId="0" fillId="10" borderId="0" xfId="1" applyNumberFormat="1" applyFont="1" applyFill="1" applyBorder="1"/>
    <xf numFmtId="0" fontId="0" fillId="0" borderId="8" xfId="0" applyBorder="1" applyAlignment="1">
      <alignment horizontal="left" indent="1"/>
    </xf>
    <xf numFmtId="0" fontId="2" fillId="0" borderId="7" xfId="0" applyFont="1" applyBorder="1" applyAlignment="1">
      <alignment horizontal="left" indent="1"/>
    </xf>
    <xf numFmtId="0" fontId="0" fillId="0" borderId="0" xfId="0" applyAlignment="1">
      <alignment horizontal="left" indent="1"/>
    </xf>
    <xf numFmtId="0" fontId="9" fillId="6" borderId="0" xfId="0" applyFont="1" applyFill="1" applyAlignment="1">
      <alignment horizontal="center"/>
    </xf>
    <xf numFmtId="0" fontId="0" fillId="0" borderId="6" xfId="0" applyBorder="1" applyAlignment="1">
      <alignment horizontal="left" indent="1"/>
    </xf>
    <xf numFmtId="0" fontId="0" fillId="0" borderId="9" xfId="0" applyBorder="1" applyAlignment="1">
      <alignment horizontal="left" indent="1"/>
    </xf>
    <xf numFmtId="3" fontId="0" fillId="0" borderId="6" xfId="0" applyNumberFormat="1" applyBorder="1" applyAlignment="1">
      <alignment horizontal="right"/>
    </xf>
    <xf numFmtId="0" fontId="0" fillId="0" borderId="0" xfId="0" applyAlignment="1">
      <alignment horizontal="center"/>
    </xf>
    <xf numFmtId="0" fontId="3" fillId="6" borderId="0" xfId="0" applyFont="1" applyFill="1" applyAlignment="1">
      <alignment horizontal="right"/>
    </xf>
    <xf numFmtId="0" fontId="3" fillId="6" borderId="0" xfId="0" applyFont="1" applyFill="1" applyAlignment="1">
      <alignment horizontal="center" wrapText="1"/>
    </xf>
    <xf numFmtId="0" fontId="9" fillId="6" borderId="0" xfId="0" applyFont="1" applyFill="1" applyAlignment="1">
      <alignment horizontal="center" vertical="center"/>
    </xf>
    <xf numFmtId="0" fontId="0" fillId="0" borderId="1" xfId="0" applyBorder="1" applyAlignment="1">
      <alignment horizontal="left" vertical="top" wrapText="1"/>
    </xf>
    <xf numFmtId="0" fontId="3" fillId="6" borderId="0" xfId="0" applyFont="1" applyFill="1" applyAlignment="1">
      <alignment horizontal="center"/>
    </xf>
    <xf numFmtId="0" fontId="3" fillId="6" borderId="0" xfId="0" applyFont="1" applyFill="1" applyAlignment="1">
      <alignment horizontal="right" wrapText="1"/>
    </xf>
    <xf numFmtId="178" fontId="0" fillId="0" borderId="6" xfId="0" applyNumberFormat="1" applyBorder="1" applyAlignment="1">
      <alignment horizontal="right"/>
    </xf>
    <xf numFmtId="0" fontId="0" fillId="0" borderId="6" xfId="0" applyBorder="1" applyAlignment="1">
      <alignment horizontal="right"/>
    </xf>
    <xf numFmtId="0" fontId="0" fillId="0" borderId="0" xfId="0" applyAlignment="1">
      <alignment horizontal="left"/>
    </xf>
    <xf numFmtId="43" fontId="5" fillId="0" borderId="0" xfId="2" applyNumberFormat="1" applyBorder="1" applyAlignment="1" applyProtection="1">
      <alignment horizontal="center"/>
    </xf>
    <xf numFmtId="43" fontId="3" fillId="4" borderId="0" xfId="5" applyNumberFormat="1" applyFont="1" applyBorder="1" applyAlignment="1">
      <alignment horizontal="center"/>
    </xf>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'INPUT SHEET'!$G$3</c:f>
              <c:strCache>
                <c:ptCount val="1"/>
                <c:pt idx="0">
                  <c:v>Price</c:v>
                </c:pt>
              </c:strCache>
            </c:strRef>
          </c:tx>
          <c:spPr>
            <a:ln w="28575" cap="rnd">
              <a:solidFill>
                <a:schemeClr val="accent3">
                  <a:lumMod val="75000"/>
                </a:schemeClr>
              </a:solidFill>
              <a:round/>
            </a:ln>
            <a:effectLst/>
          </c:spPr>
          <c:marker>
            <c:symbol val="none"/>
          </c:marker>
          <c:cat>
            <c:numRef>
              <c:f>'INPUT SHEET'!$D$4:$D$1242</c:f>
              <c:numCache>
                <c:formatCode>d\-mmm\-yy</c:formatCode>
                <c:ptCount val="1239"/>
                <c:pt idx="0">
                  <c:v>46014</c:v>
                </c:pt>
                <c:pt idx="1">
                  <c:v>46013</c:v>
                </c:pt>
                <c:pt idx="2">
                  <c:v>46010</c:v>
                </c:pt>
                <c:pt idx="3">
                  <c:v>46009</c:v>
                </c:pt>
                <c:pt idx="4">
                  <c:v>46008</c:v>
                </c:pt>
                <c:pt idx="5">
                  <c:v>46007</c:v>
                </c:pt>
                <c:pt idx="6">
                  <c:v>46006</c:v>
                </c:pt>
                <c:pt idx="7">
                  <c:v>46003</c:v>
                </c:pt>
                <c:pt idx="8">
                  <c:v>46002</c:v>
                </c:pt>
                <c:pt idx="9">
                  <c:v>46001</c:v>
                </c:pt>
                <c:pt idx="10">
                  <c:v>46000</c:v>
                </c:pt>
                <c:pt idx="11">
                  <c:v>45999</c:v>
                </c:pt>
                <c:pt idx="12">
                  <c:v>45996</c:v>
                </c:pt>
                <c:pt idx="13">
                  <c:v>45995</c:v>
                </c:pt>
                <c:pt idx="14">
                  <c:v>45994</c:v>
                </c:pt>
                <c:pt idx="15">
                  <c:v>45993</c:v>
                </c:pt>
                <c:pt idx="16">
                  <c:v>45992</c:v>
                </c:pt>
                <c:pt idx="17">
                  <c:v>45989</c:v>
                </c:pt>
                <c:pt idx="18">
                  <c:v>45988</c:v>
                </c:pt>
                <c:pt idx="19">
                  <c:v>45987</c:v>
                </c:pt>
                <c:pt idx="20">
                  <c:v>45986</c:v>
                </c:pt>
                <c:pt idx="21">
                  <c:v>45985</c:v>
                </c:pt>
                <c:pt idx="22">
                  <c:v>45982</c:v>
                </c:pt>
                <c:pt idx="23">
                  <c:v>45981</c:v>
                </c:pt>
                <c:pt idx="24">
                  <c:v>45980</c:v>
                </c:pt>
                <c:pt idx="25">
                  <c:v>45979</c:v>
                </c:pt>
                <c:pt idx="26">
                  <c:v>45978</c:v>
                </c:pt>
                <c:pt idx="27">
                  <c:v>45975</c:v>
                </c:pt>
                <c:pt idx="28">
                  <c:v>45974</c:v>
                </c:pt>
                <c:pt idx="29">
                  <c:v>45973</c:v>
                </c:pt>
                <c:pt idx="30">
                  <c:v>45972</c:v>
                </c:pt>
                <c:pt idx="31">
                  <c:v>45971</c:v>
                </c:pt>
                <c:pt idx="32">
                  <c:v>45968</c:v>
                </c:pt>
                <c:pt idx="33">
                  <c:v>45967</c:v>
                </c:pt>
                <c:pt idx="34">
                  <c:v>45965</c:v>
                </c:pt>
                <c:pt idx="35">
                  <c:v>45964</c:v>
                </c:pt>
                <c:pt idx="36">
                  <c:v>45961</c:v>
                </c:pt>
                <c:pt idx="37">
                  <c:v>45960</c:v>
                </c:pt>
                <c:pt idx="38">
                  <c:v>45959</c:v>
                </c:pt>
                <c:pt idx="39">
                  <c:v>45958</c:v>
                </c:pt>
                <c:pt idx="40">
                  <c:v>45957</c:v>
                </c:pt>
                <c:pt idx="41">
                  <c:v>45954</c:v>
                </c:pt>
                <c:pt idx="42">
                  <c:v>45953</c:v>
                </c:pt>
                <c:pt idx="43">
                  <c:v>45951</c:v>
                </c:pt>
                <c:pt idx="44">
                  <c:v>45950</c:v>
                </c:pt>
                <c:pt idx="45">
                  <c:v>45947</c:v>
                </c:pt>
                <c:pt idx="46">
                  <c:v>45946</c:v>
                </c:pt>
                <c:pt idx="47">
                  <c:v>45945</c:v>
                </c:pt>
                <c:pt idx="48">
                  <c:v>45944</c:v>
                </c:pt>
                <c:pt idx="49">
                  <c:v>45943</c:v>
                </c:pt>
                <c:pt idx="50">
                  <c:v>45940</c:v>
                </c:pt>
                <c:pt idx="51">
                  <c:v>45939</c:v>
                </c:pt>
                <c:pt idx="52">
                  <c:v>45938</c:v>
                </c:pt>
                <c:pt idx="53">
                  <c:v>45937</c:v>
                </c:pt>
                <c:pt idx="54">
                  <c:v>45936</c:v>
                </c:pt>
                <c:pt idx="55">
                  <c:v>45933</c:v>
                </c:pt>
                <c:pt idx="56">
                  <c:v>45931</c:v>
                </c:pt>
                <c:pt idx="57">
                  <c:v>45930</c:v>
                </c:pt>
                <c:pt idx="58">
                  <c:v>45929</c:v>
                </c:pt>
                <c:pt idx="59">
                  <c:v>45926</c:v>
                </c:pt>
                <c:pt idx="60">
                  <c:v>45925</c:v>
                </c:pt>
                <c:pt idx="61">
                  <c:v>45924</c:v>
                </c:pt>
                <c:pt idx="62">
                  <c:v>45923</c:v>
                </c:pt>
                <c:pt idx="63">
                  <c:v>45922</c:v>
                </c:pt>
                <c:pt idx="64">
                  <c:v>45919</c:v>
                </c:pt>
                <c:pt idx="65">
                  <c:v>45918</c:v>
                </c:pt>
                <c:pt idx="66">
                  <c:v>45917</c:v>
                </c:pt>
                <c:pt idx="67">
                  <c:v>45916</c:v>
                </c:pt>
                <c:pt idx="68">
                  <c:v>45915</c:v>
                </c:pt>
                <c:pt idx="69">
                  <c:v>45912</c:v>
                </c:pt>
                <c:pt idx="70">
                  <c:v>45911</c:v>
                </c:pt>
                <c:pt idx="71">
                  <c:v>45910</c:v>
                </c:pt>
                <c:pt idx="72">
                  <c:v>45909</c:v>
                </c:pt>
                <c:pt idx="73">
                  <c:v>45908</c:v>
                </c:pt>
                <c:pt idx="74">
                  <c:v>45905</c:v>
                </c:pt>
                <c:pt idx="75">
                  <c:v>45904</c:v>
                </c:pt>
                <c:pt idx="76">
                  <c:v>45903</c:v>
                </c:pt>
                <c:pt idx="77">
                  <c:v>45902</c:v>
                </c:pt>
                <c:pt idx="78">
                  <c:v>45901</c:v>
                </c:pt>
                <c:pt idx="79">
                  <c:v>45898</c:v>
                </c:pt>
                <c:pt idx="80">
                  <c:v>45897</c:v>
                </c:pt>
                <c:pt idx="81">
                  <c:v>45895</c:v>
                </c:pt>
                <c:pt idx="82">
                  <c:v>45894</c:v>
                </c:pt>
                <c:pt idx="83">
                  <c:v>45891</c:v>
                </c:pt>
                <c:pt idx="84">
                  <c:v>45890</c:v>
                </c:pt>
                <c:pt idx="85">
                  <c:v>45889</c:v>
                </c:pt>
                <c:pt idx="86">
                  <c:v>45888</c:v>
                </c:pt>
                <c:pt idx="87">
                  <c:v>45887</c:v>
                </c:pt>
                <c:pt idx="88">
                  <c:v>45883</c:v>
                </c:pt>
                <c:pt idx="89">
                  <c:v>45882</c:v>
                </c:pt>
                <c:pt idx="90">
                  <c:v>45881</c:v>
                </c:pt>
                <c:pt idx="91">
                  <c:v>45880</c:v>
                </c:pt>
                <c:pt idx="92">
                  <c:v>45877</c:v>
                </c:pt>
                <c:pt idx="93">
                  <c:v>45876</c:v>
                </c:pt>
                <c:pt idx="94">
                  <c:v>45875</c:v>
                </c:pt>
                <c:pt idx="95">
                  <c:v>45874</c:v>
                </c:pt>
                <c:pt idx="96">
                  <c:v>45873</c:v>
                </c:pt>
                <c:pt idx="97">
                  <c:v>45870</c:v>
                </c:pt>
                <c:pt idx="98">
                  <c:v>45869</c:v>
                </c:pt>
                <c:pt idx="99">
                  <c:v>45868</c:v>
                </c:pt>
                <c:pt idx="100">
                  <c:v>45867</c:v>
                </c:pt>
                <c:pt idx="101">
                  <c:v>45866</c:v>
                </c:pt>
                <c:pt idx="102">
                  <c:v>45863</c:v>
                </c:pt>
                <c:pt idx="103">
                  <c:v>45862</c:v>
                </c:pt>
                <c:pt idx="104">
                  <c:v>45861</c:v>
                </c:pt>
                <c:pt idx="105">
                  <c:v>45860</c:v>
                </c:pt>
                <c:pt idx="106">
                  <c:v>45859</c:v>
                </c:pt>
                <c:pt idx="107">
                  <c:v>45856</c:v>
                </c:pt>
                <c:pt idx="108">
                  <c:v>45855</c:v>
                </c:pt>
                <c:pt idx="109">
                  <c:v>45854</c:v>
                </c:pt>
                <c:pt idx="110">
                  <c:v>45853</c:v>
                </c:pt>
                <c:pt idx="111">
                  <c:v>45852</c:v>
                </c:pt>
                <c:pt idx="112">
                  <c:v>45849</c:v>
                </c:pt>
                <c:pt idx="113">
                  <c:v>45848</c:v>
                </c:pt>
                <c:pt idx="114">
                  <c:v>45847</c:v>
                </c:pt>
                <c:pt idx="115">
                  <c:v>45846</c:v>
                </c:pt>
                <c:pt idx="116">
                  <c:v>45845</c:v>
                </c:pt>
                <c:pt idx="117">
                  <c:v>45842</c:v>
                </c:pt>
                <c:pt idx="118">
                  <c:v>45841</c:v>
                </c:pt>
                <c:pt idx="119">
                  <c:v>45840</c:v>
                </c:pt>
                <c:pt idx="120">
                  <c:v>45839</c:v>
                </c:pt>
                <c:pt idx="121">
                  <c:v>45838</c:v>
                </c:pt>
                <c:pt idx="122">
                  <c:v>45835</c:v>
                </c:pt>
                <c:pt idx="123">
                  <c:v>45834</c:v>
                </c:pt>
                <c:pt idx="124">
                  <c:v>45833</c:v>
                </c:pt>
                <c:pt idx="125">
                  <c:v>45832</c:v>
                </c:pt>
                <c:pt idx="126">
                  <c:v>45831</c:v>
                </c:pt>
                <c:pt idx="127">
                  <c:v>45828</c:v>
                </c:pt>
                <c:pt idx="128">
                  <c:v>45827</c:v>
                </c:pt>
                <c:pt idx="129">
                  <c:v>45826</c:v>
                </c:pt>
                <c:pt idx="130">
                  <c:v>45825</c:v>
                </c:pt>
                <c:pt idx="131">
                  <c:v>45824</c:v>
                </c:pt>
                <c:pt idx="132">
                  <c:v>45821</c:v>
                </c:pt>
                <c:pt idx="133">
                  <c:v>45820</c:v>
                </c:pt>
                <c:pt idx="134">
                  <c:v>45819</c:v>
                </c:pt>
                <c:pt idx="135">
                  <c:v>45818</c:v>
                </c:pt>
                <c:pt idx="136">
                  <c:v>45817</c:v>
                </c:pt>
                <c:pt idx="137">
                  <c:v>45814</c:v>
                </c:pt>
                <c:pt idx="138">
                  <c:v>45813</c:v>
                </c:pt>
                <c:pt idx="139">
                  <c:v>45812</c:v>
                </c:pt>
                <c:pt idx="140">
                  <c:v>45811</c:v>
                </c:pt>
                <c:pt idx="141">
                  <c:v>45810</c:v>
                </c:pt>
                <c:pt idx="142">
                  <c:v>45807</c:v>
                </c:pt>
                <c:pt idx="143">
                  <c:v>45806</c:v>
                </c:pt>
                <c:pt idx="144">
                  <c:v>45805</c:v>
                </c:pt>
                <c:pt idx="145">
                  <c:v>45804</c:v>
                </c:pt>
                <c:pt idx="146">
                  <c:v>45803</c:v>
                </c:pt>
                <c:pt idx="147">
                  <c:v>45800</c:v>
                </c:pt>
                <c:pt idx="148">
                  <c:v>45799</c:v>
                </c:pt>
                <c:pt idx="149">
                  <c:v>45798</c:v>
                </c:pt>
                <c:pt idx="150">
                  <c:v>45797</c:v>
                </c:pt>
                <c:pt idx="151">
                  <c:v>45796</c:v>
                </c:pt>
                <c:pt idx="152">
                  <c:v>45793</c:v>
                </c:pt>
                <c:pt idx="153">
                  <c:v>45792</c:v>
                </c:pt>
                <c:pt idx="154">
                  <c:v>45791</c:v>
                </c:pt>
                <c:pt idx="155">
                  <c:v>45790</c:v>
                </c:pt>
                <c:pt idx="156">
                  <c:v>45789</c:v>
                </c:pt>
                <c:pt idx="157">
                  <c:v>45786</c:v>
                </c:pt>
                <c:pt idx="158">
                  <c:v>45785</c:v>
                </c:pt>
                <c:pt idx="159">
                  <c:v>45784</c:v>
                </c:pt>
                <c:pt idx="160">
                  <c:v>45783</c:v>
                </c:pt>
                <c:pt idx="161">
                  <c:v>45782</c:v>
                </c:pt>
                <c:pt idx="162">
                  <c:v>45779</c:v>
                </c:pt>
                <c:pt idx="163">
                  <c:v>45777</c:v>
                </c:pt>
                <c:pt idx="164">
                  <c:v>45776</c:v>
                </c:pt>
                <c:pt idx="165">
                  <c:v>45775</c:v>
                </c:pt>
                <c:pt idx="166">
                  <c:v>45772</c:v>
                </c:pt>
                <c:pt idx="167">
                  <c:v>45771</c:v>
                </c:pt>
                <c:pt idx="168">
                  <c:v>45770</c:v>
                </c:pt>
                <c:pt idx="169">
                  <c:v>45769</c:v>
                </c:pt>
                <c:pt idx="170">
                  <c:v>45768</c:v>
                </c:pt>
                <c:pt idx="171">
                  <c:v>45764</c:v>
                </c:pt>
                <c:pt idx="172">
                  <c:v>45763</c:v>
                </c:pt>
                <c:pt idx="173">
                  <c:v>45762</c:v>
                </c:pt>
                <c:pt idx="174">
                  <c:v>45758</c:v>
                </c:pt>
                <c:pt idx="175">
                  <c:v>45756</c:v>
                </c:pt>
                <c:pt idx="176">
                  <c:v>45755</c:v>
                </c:pt>
                <c:pt idx="177">
                  <c:v>45754</c:v>
                </c:pt>
                <c:pt idx="178">
                  <c:v>45751</c:v>
                </c:pt>
                <c:pt idx="179">
                  <c:v>45750</c:v>
                </c:pt>
                <c:pt idx="180">
                  <c:v>45749</c:v>
                </c:pt>
                <c:pt idx="181">
                  <c:v>45748</c:v>
                </c:pt>
                <c:pt idx="182">
                  <c:v>45744</c:v>
                </c:pt>
                <c:pt idx="183">
                  <c:v>45743</c:v>
                </c:pt>
                <c:pt idx="184">
                  <c:v>45742</c:v>
                </c:pt>
                <c:pt idx="185">
                  <c:v>45741</c:v>
                </c:pt>
                <c:pt idx="186">
                  <c:v>45740</c:v>
                </c:pt>
                <c:pt idx="187">
                  <c:v>45737</c:v>
                </c:pt>
                <c:pt idx="188">
                  <c:v>45736</c:v>
                </c:pt>
                <c:pt idx="189">
                  <c:v>45735</c:v>
                </c:pt>
                <c:pt idx="190">
                  <c:v>45734</c:v>
                </c:pt>
                <c:pt idx="191">
                  <c:v>45733</c:v>
                </c:pt>
                <c:pt idx="192">
                  <c:v>45729</c:v>
                </c:pt>
                <c:pt idx="193">
                  <c:v>45728</c:v>
                </c:pt>
                <c:pt idx="194">
                  <c:v>45727</c:v>
                </c:pt>
                <c:pt idx="195">
                  <c:v>45726</c:v>
                </c:pt>
                <c:pt idx="196">
                  <c:v>45723</c:v>
                </c:pt>
                <c:pt idx="197">
                  <c:v>45722</c:v>
                </c:pt>
                <c:pt idx="198">
                  <c:v>45721</c:v>
                </c:pt>
                <c:pt idx="199">
                  <c:v>45720</c:v>
                </c:pt>
                <c:pt idx="200">
                  <c:v>45719</c:v>
                </c:pt>
                <c:pt idx="201">
                  <c:v>45716</c:v>
                </c:pt>
                <c:pt idx="202">
                  <c:v>45715</c:v>
                </c:pt>
                <c:pt idx="203">
                  <c:v>45713</c:v>
                </c:pt>
                <c:pt idx="204">
                  <c:v>45712</c:v>
                </c:pt>
                <c:pt idx="205">
                  <c:v>45709</c:v>
                </c:pt>
                <c:pt idx="206">
                  <c:v>45708</c:v>
                </c:pt>
                <c:pt idx="207">
                  <c:v>45707</c:v>
                </c:pt>
                <c:pt idx="208">
                  <c:v>45706</c:v>
                </c:pt>
                <c:pt idx="209">
                  <c:v>45705</c:v>
                </c:pt>
                <c:pt idx="210">
                  <c:v>45702</c:v>
                </c:pt>
                <c:pt idx="211">
                  <c:v>45701</c:v>
                </c:pt>
                <c:pt idx="212">
                  <c:v>45700</c:v>
                </c:pt>
                <c:pt idx="213">
                  <c:v>45699</c:v>
                </c:pt>
                <c:pt idx="214">
                  <c:v>45698</c:v>
                </c:pt>
                <c:pt idx="215">
                  <c:v>45695</c:v>
                </c:pt>
                <c:pt idx="216">
                  <c:v>45694</c:v>
                </c:pt>
                <c:pt idx="217">
                  <c:v>45693</c:v>
                </c:pt>
                <c:pt idx="218">
                  <c:v>45692</c:v>
                </c:pt>
                <c:pt idx="219">
                  <c:v>45691</c:v>
                </c:pt>
                <c:pt idx="220">
                  <c:v>45689</c:v>
                </c:pt>
                <c:pt idx="221">
                  <c:v>45688</c:v>
                </c:pt>
                <c:pt idx="222">
                  <c:v>45687</c:v>
                </c:pt>
                <c:pt idx="223">
                  <c:v>45686</c:v>
                </c:pt>
                <c:pt idx="224">
                  <c:v>45685</c:v>
                </c:pt>
                <c:pt idx="225">
                  <c:v>45684</c:v>
                </c:pt>
                <c:pt idx="226">
                  <c:v>45681</c:v>
                </c:pt>
                <c:pt idx="227">
                  <c:v>45680</c:v>
                </c:pt>
                <c:pt idx="228">
                  <c:v>45679</c:v>
                </c:pt>
                <c:pt idx="229">
                  <c:v>45678</c:v>
                </c:pt>
                <c:pt idx="230">
                  <c:v>45677</c:v>
                </c:pt>
                <c:pt idx="231">
                  <c:v>45674</c:v>
                </c:pt>
                <c:pt idx="232">
                  <c:v>45673</c:v>
                </c:pt>
                <c:pt idx="233">
                  <c:v>45672</c:v>
                </c:pt>
                <c:pt idx="234">
                  <c:v>45671</c:v>
                </c:pt>
                <c:pt idx="235">
                  <c:v>45670</c:v>
                </c:pt>
                <c:pt idx="236">
                  <c:v>45667</c:v>
                </c:pt>
                <c:pt idx="237">
                  <c:v>45666</c:v>
                </c:pt>
                <c:pt idx="238">
                  <c:v>45665</c:v>
                </c:pt>
                <c:pt idx="239">
                  <c:v>45664</c:v>
                </c:pt>
                <c:pt idx="240">
                  <c:v>45663</c:v>
                </c:pt>
                <c:pt idx="241">
                  <c:v>45660</c:v>
                </c:pt>
                <c:pt idx="242">
                  <c:v>45659</c:v>
                </c:pt>
                <c:pt idx="243">
                  <c:v>45658</c:v>
                </c:pt>
                <c:pt idx="244">
                  <c:v>45657</c:v>
                </c:pt>
                <c:pt idx="245">
                  <c:v>45656</c:v>
                </c:pt>
                <c:pt idx="246">
                  <c:v>45653</c:v>
                </c:pt>
                <c:pt idx="247">
                  <c:v>45652</c:v>
                </c:pt>
                <c:pt idx="248">
                  <c:v>45650</c:v>
                </c:pt>
                <c:pt idx="249">
                  <c:v>45649</c:v>
                </c:pt>
                <c:pt idx="250">
                  <c:v>45646</c:v>
                </c:pt>
                <c:pt idx="251">
                  <c:v>45645</c:v>
                </c:pt>
                <c:pt idx="252">
                  <c:v>45644</c:v>
                </c:pt>
                <c:pt idx="253">
                  <c:v>45643</c:v>
                </c:pt>
                <c:pt idx="254">
                  <c:v>45642</c:v>
                </c:pt>
                <c:pt idx="255">
                  <c:v>45639</c:v>
                </c:pt>
                <c:pt idx="256">
                  <c:v>45638</c:v>
                </c:pt>
                <c:pt idx="257">
                  <c:v>45637</c:v>
                </c:pt>
                <c:pt idx="258">
                  <c:v>45636</c:v>
                </c:pt>
                <c:pt idx="259">
                  <c:v>45635</c:v>
                </c:pt>
                <c:pt idx="260">
                  <c:v>45632</c:v>
                </c:pt>
                <c:pt idx="261">
                  <c:v>45631</c:v>
                </c:pt>
                <c:pt idx="262">
                  <c:v>45630</c:v>
                </c:pt>
                <c:pt idx="263">
                  <c:v>45629</c:v>
                </c:pt>
                <c:pt idx="264">
                  <c:v>45628</c:v>
                </c:pt>
                <c:pt idx="265">
                  <c:v>45625</c:v>
                </c:pt>
                <c:pt idx="266">
                  <c:v>45624</c:v>
                </c:pt>
                <c:pt idx="267">
                  <c:v>45623</c:v>
                </c:pt>
                <c:pt idx="268">
                  <c:v>45622</c:v>
                </c:pt>
                <c:pt idx="269">
                  <c:v>45621</c:v>
                </c:pt>
                <c:pt idx="270">
                  <c:v>45618</c:v>
                </c:pt>
                <c:pt idx="271">
                  <c:v>45617</c:v>
                </c:pt>
                <c:pt idx="272">
                  <c:v>45615</c:v>
                </c:pt>
                <c:pt idx="273">
                  <c:v>45614</c:v>
                </c:pt>
                <c:pt idx="274">
                  <c:v>45610</c:v>
                </c:pt>
                <c:pt idx="275">
                  <c:v>45609</c:v>
                </c:pt>
                <c:pt idx="276">
                  <c:v>45608</c:v>
                </c:pt>
                <c:pt idx="277">
                  <c:v>45607</c:v>
                </c:pt>
                <c:pt idx="278">
                  <c:v>45604</c:v>
                </c:pt>
                <c:pt idx="279">
                  <c:v>45603</c:v>
                </c:pt>
                <c:pt idx="280">
                  <c:v>45602</c:v>
                </c:pt>
                <c:pt idx="281">
                  <c:v>45601</c:v>
                </c:pt>
                <c:pt idx="282">
                  <c:v>45600</c:v>
                </c:pt>
                <c:pt idx="283">
                  <c:v>45597</c:v>
                </c:pt>
                <c:pt idx="284">
                  <c:v>45596</c:v>
                </c:pt>
                <c:pt idx="285">
                  <c:v>45595</c:v>
                </c:pt>
                <c:pt idx="286">
                  <c:v>45594</c:v>
                </c:pt>
                <c:pt idx="287">
                  <c:v>45593</c:v>
                </c:pt>
                <c:pt idx="288">
                  <c:v>45590</c:v>
                </c:pt>
                <c:pt idx="289">
                  <c:v>45589</c:v>
                </c:pt>
                <c:pt idx="290">
                  <c:v>45588</c:v>
                </c:pt>
                <c:pt idx="291">
                  <c:v>45587</c:v>
                </c:pt>
                <c:pt idx="292">
                  <c:v>45586</c:v>
                </c:pt>
                <c:pt idx="293">
                  <c:v>45583</c:v>
                </c:pt>
                <c:pt idx="294">
                  <c:v>45582</c:v>
                </c:pt>
                <c:pt idx="295">
                  <c:v>45581</c:v>
                </c:pt>
                <c:pt idx="296">
                  <c:v>45580</c:v>
                </c:pt>
                <c:pt idx="297">
                  <c:v>45579</c:v>
                </c:pt>
                <c:pt idx="298">
                  <c:v>45576</c:v>
                </c:pt>
                <c:pt idx="299">
                  <c:v>45575</c:v>
                </c:pt>
                <c:pt idx="300">
                  <c:v>45574</c:v>
                </c:pt>
                <c:pt idx="301">
                  <c:v>45573</c:v>
                </c:pt>
                <c:pt idx="302">
                  <c:v>45572</c:v>
                </c:pt>
                <c:pt idx="303">
                  <c:v>45569</c:v>
                </c:pt>
                <c:pt idx="304">
                  <c:v>45568</c:v>
                </c:pt>
                <c:pt idx="305">
                  <c:v>45566</c:v>
                </c:pt>
                <c:pt idx="306">
                  <c:v>45565</c:v>
                </c:pt>
                <c:pt idx="307">
                  <c:v>45562</c:v>
                </c:pt>
                <c:pt idx="308">
                  <c:v>45561</c:v>
                </c:pt>
                <c:pt idx="309">
                  <c:v>45560</c:v>
                </c:pt>
                <c:pt idx="310">
                  <c:v>45559</c:v>
                </c:pt>
                <c:pt idx="311">
                  <c:v>45558</c:v>
                </c:pt>
                <c:pt idx="312">
                  <c:v>45555</c:v>
                </c:pt>
                <c:pt idx="313">
                  <c:v>45554</c:v>
                </c:pt>
                <c:pt idx="314">
                  <c:v>45553</c:v>
                </c:pt>
                <c:pt idx="315">
                  <c:v>45552</c:v>
                </c:pt>
                <c:pt idx="316">
                  <c:v>45551</c:v>
                </c:pt>
                <c:pt idx="317">
                  <c:v>45548</c:v>
                </c:pt>
                <c:pt idx="318">
                  <c:v>45547</c:v>
                </c:pt>
                <c:pt idx="319">
                  <c:v>45546</c:v>
                </c:pt>
                <c:pt idx="320">
                  <c:v>45545</c:v>
                </c:pt>
                <c:pt idx="321">
                  <c:v>45544</c:v>
                </c:pt>
                <c:pt idx="322">
                  <c:v>45541</c:v>
                </c:pt>
                <c:pt idx="323">
                  <c:v>45540</c:v>
                </c:pt>
                <c:pt idx="324">
                  <c:v>45539</c:v>
                </c:pt>
                <c:pt idx="325">
                  <c:v>45538</c:v>
                </c:pt>
                <c:pt idx="326">
                  <c:v>45537</c:v>
                </c:pt>
                <c:pt idx="327">
                  <c:v>45534</c:v>
                </c:pt>
                <c:pt idx="328">
                  <c:v>45533</c:v>
                </c:pt>
                <c:pt idx="329">
                  <c:v>45532</c:v>
                </c:pt>
                <c:pt idx="330">
                  <c:v>45531</c:v>
                </c:pt>
                <c:pt idx="331">
                  <c:v>45530</c:v>
                </c:pt>
                <c:pt idx="332">
                  <c:v>45527</c:v>
                </c:pt>
                <c:pt idx="333">
                  <c:v>45526</c:v>
                </c:pt>
                <c:pt idx="334">
                  <c:v>45525</c:v>
                </c:pt>
                <c:pt idx="335">
                  <c:v>45524</c:v>
                </c:pt>
                <c:pt idx="336">
                  <c:v>45523</c:v>
                </c:pt>
                <c:pt idx="337">
                  <c:v>45520</c:v>
                </c:pt>
                <c:pt idx="338">
                  <c:v>45518</c:v>
                </c:pt>
                <c:pt idx="339">
                  <c:v>45517</c:v>
                </c:pt>
                <c:pt idx="340">
                  <c:v>45516</c:v>
                </c:pt>
                <c:pt idx="341">
                  <c:v>45513</c:v>
                </c:pt>
                <c:pt idx="342">
                  <c:v>45512</c:v>
                </c:pt>
                <c:pt idx="343">
                  <c:v>45511</c:v>
                </c:pt>
                <c:pt idx="344">
                  <c:v>45510</c:v>
                </c:pt>
                <c:pt idx="345">
                  <c:v>45509</c:v>
                </c:pt>
                <c:pt idx="346">
                  <c:v>45506</c:v>
                </c:pt>
                <c:pt idx="347">
                  <c:v>45505</c:v>
                </c:pt>
                <c:pt idx="348">
                  <c:v>45504</c:v>
                </c:pt>
                <c:pt idx="349">
                  <c:v>45503</c:v>
                </c:pt>
                <c:pt idx="350">
                  <c:v>45502</c:v>
                </c:pt>
                <c:pt idx="351">
                  <c:v>45499</c:v>
                </c:pt>
                <c:pt idx="352">
                  <c:v>45498</c:v>
                </c:pt>
                <c:pt idx="353">
                  <c:v>45497</c:v>
                </c:pt>
                <c:pt idx="354">
                  <c:v>45496</c:v>
                </c:pt>
                <c:pt idx="355">
                  <c:v>45495</c:v>
                </c:pt>
                <c:pt idx="356">
                  <c:v>45492</c:v>
                </c:pt>
                <c:pt idx="357">
                  <c:v>45491</c:v>
                </c:pt>
                <c:pt idx="358">
                  <c:v>45489</c:v>
                </c:pt>
                <c:pt idx="359">
                  <c:v>45488</c:v>
                </c:pt>
                <c:pt idx="360">
                  <c:v>45485</c:v>
                </c:pt>
                <c:pt idx="361">
                  <c:v>45484</c:v>
                </c:pt>
                <c:pt idx="362">
                  <c:v>45483</c:v>
                </c:pt>
                <c:pt idx="363">
                  <c:v>45482</c:v>
                </c:pt>
                <c:pt idx="364">
                  <c:v>45481</c:v>
                </c:pt>
                <c:pt idx="365">
                  <c:v>45478</c:v>
                </c:pt>
                <c:pt idx="366">
                  <c:v>45477</c:v>
                </c:pt>
                <c:pt idx="367">
                  <c:v>45476</c:v>
                </c:pt>
                <c:pt idx="368">
                  <c:v>45475</c:v>
                </c:pt>
                <c:pt idx="369">
                  <c:v>45474</c:v>
                </c:pt>
                <c:pt idx="370">
                  <c:v>45471</c:v>
                </c:pt>
                <c:pt idx="371">
                  <c:v>45470</c:v>
                </c:pt>
                <c:pt idx="372">
                  <c:v>45469</c:v>
                </c:pt>
                <c:pt idx="373">
                  <c:v>45468</c:v>
                </c:pt>
                <c:pt idx="374">
                  <c:v>45467</c:v>
                </c:pt>
                <c:pt idx="375">
                  <c:v>45464</c:v>
                </c:pt>
                <c:pt idx="376">
                  <c:v>45463</c:v>
                </c:pt>
                <c:pt idx="377">
                  <c:v>45462</c:v>
                </c:pt>
                <c:pt idx="378">
                  <c:v>45461</c:v>
                </c:pt>
                <c:pt idx="379">
                  <c:v>45457</c:v>
                </c:pt>
                <c:pt idx="380">
                  <c:v>45456</c:v>
                </c:pt>
                <c:pt idx="381">
                  <c:v>45455</c:v>
                </c:pt>
                <c:pt idx="382">
                  <c:v>45454</c:v>
                </c:pt>
                <c:pt idx="383">
                  <c:v>45453</c:v>
                </c:pt>
                <c:pt idx="384">
                  <c:v>45450</c:v>
                </c:pt>
                <c:pt idx="385">
                  <c:v>45449</c:v>
                </c:pt>
                <c:pt idx="386">
                  <c:v>45448</c:v>
                </c:pt>
                <c:pt idx="387">
                  <c:v>45447</c:v>
                </c:pt>
                <c:pt idx="388">
                  <c:v>45446</c:v>
                </c:pt>
                <c:pt idx="389">
                  <c:v>45443</c:v>
                </c:pt>
                <c:pt idx="390">
                  <c:v>45442</c:v>
                </c:pt>
                <c:pt idx="391">
                  <c:v>45441</c:v>
                </c:pt>
                <c:pt idx="392">
                  <c:v>45440</c:v>
                </c:pt>
                <c:pt idx="393">
                  <c:v>45439</c:v>
                </c:pt>
                <c:pt idx="394">
                  <c:v>45436</c:v>
                </c:pt>
                <c:pt idx="395">
                  <c:v>45435</c:v>
                </c:pt>
                <c:pt idx="396">
                  <c:v>45434</c:v>
                </c:pt>
                <c:pt idx="397">
                  <c:v>45433</c:v>
                </c:pt>
                <c:pt idx="398">
                  <c:v>45430</c:v>
                </c:pt>
                <c:pt idx="399">
                  <c:v>45429</c:v>
                </c:pt>
                <c:pt idx="400">
                  <c:v>45428</c:v>
                </c:pt>
                <c:pt idx="401">
                  <c:v>45427</c:v>
                </c:pt>
                <c:pt idx="402">
                  <c:v>45426</c:v>
                </c:pt>
                <c:pt idx="403">
                  <c:v>45425</c:v>
                </c:pt>
                <c:pt idx="404">
                  <c:v>45422</c:v>
                </c:pt>
                <c:pt idx="405">
                  <c:v>45421</c:v>
                </c:pt>
                <c:pt idx="406">
                  <c:v>45420</c:v>
                </c:pt>
                <c:pt idx="407">
                  <c:v>45419</c:v>
                </c:pt>
                <c:pt idx="408">
                  <c:v>45418</c:v>
                </c:pt>
                <c:pt idx="409">
                  <c:v>45415</c:v>
                </c:pt>
                <c:pt idx="410">
                  <c:v>45414</c:v>
                </c:pt>
                <c:pt idx="411">
                  <c:v>45412</c:v>
                </c:pt>
                <c:pt idx="412">
                  <c:v>45411</c:v>
                </c:pt>
                <c:pt idx="413">
                  <c:v>45408</c:v>
                </c:pt>
                <c:pt idx="414">
                  <c:v>45407</c:v>
                </c:pt>
                <c:pt idx="415">
                  <c:v>45406</c:v>
                </c:pt>
                <c:pt idx="416">
                  <c:v>45405</c:v>
                </c:pt>
                <c:pt idx="417">
                  <c:v>45404</c:v>
                </c:pt>
                <c:pt idx="418">
                  <c:v>45401</c:v>
                </c:pt>
                <c:pt idx="419">
                  <c:v>45400</c:v>
                </c:pt>
                <c:pt idx="420">
                  <c:v>45398</c:v>
                </c:pt>
                <c:pt idx="421">
                  <c:v>45397</c:v>
                </c:pt>
                <c:pt idx="422">
                  <c:v>45394</c:v>
                </c:pt>
                <c:pt idx="423">
                  <c:v>45392</c:v>
                </c:pt>
                <c:pt idx="424">
                  <c:v>45391</c:v>
                </c:pt>
                <c:pt idx="425">
                  <c:v>45390</c:v>
                </c:pt>
                <c:pt idx="426">
                  <c:v>45387</c:v>
                </c:pt>
                <c:pt idx="427">
                  <c:v>45386</c:v>
                </c:pt>
                <c:pt idx="428">
                  <c:v>45385</c:v>
                </c:pt>
                <c:pt idx="429">
                  <c:v>45384</c:v>
                </c:pt>
                <c:pt idx="430">
                  <c:v>45383</c:v>
                </c:pt>
                <c:pt idx="431">
                  <c:v>45379</c:v>
                </c:pt>
                <c:pt idx="432">
                  <c:v>45378</c:v>
                </c:pt>
                <c:pt idx="433">
                  <c:v>45377</c:v>
                </c:pt>
                <c:pt idx="434">
                  <c:v>45373</c:v>
                </c:pt>
                <c:pt idx="435">
                  <c:v>45372</c:v>
                </c:pt>
                <c:pt idx="436">
                  <c:v>45371</c:v>
                </c:pt>
                <c:pt idx="437">
                  <c:v>45370</c:v>
                </c:pt>
                <c:pt idx="438">
                  <c:v>45369</c:v>
                </c:pt>
                <c:pt idx="439">
                  <c:v>45366</c:v>
                </c:pt>
                <c:pt idx="440">
                  <c:v>45365</c:v>
                </c:pt>
                <c:pt idx="441">
                  <c:v>45364</c:v>
                </c:pt>
                <c:pt idx="442">
                  <c:v>45363</c:v>
                </c:pt>
                <c:pt idx="443">
                  <c:v>45362</c:v>
                </c:pt>
                <c:pt idx="444">
                  <c:v>45358</c:v>
                </c:pt>
                <c:pt idx="445">
                  <c:v>45357</c:v>
                </c:pt>
                <c:pt idx="446">
                  <c:v>45356</c:v>
                </c:pt>
                <c:pt idx="447">
                  <c:v>45355</c:v>
                </c:pt>
                <c:pt idx="448">
                  <c:v>45353</c:v>
                </c:pt>
                <c:pt idx="449">
                  <c:v>45352</c:v>
                </c:pt>
                <c:pt idx="450">
                  <c:v>45351</c:v>
                </c:pt>
                <c:pt idx="451">
                  <c:v>45350</c:v>
                </c:pt>
                <c:pt idx="452">
                  <c:v>45349</c:v>
                </c:pt>
                <c:pt idx="453">
                  <c:v>45348</c:v>
                </c:pt>
                <c:pt idx="454">
                  <c:v>45345</c:v>
                </c:pt>
                <c:pt idx="455">
                  <c:v>45344</c:v>
                </c:pt>
                <c:pt idx="456">
                  <c:v>45343</c:v>
                </c:pt>
                <c:pt idx="457">
                  <c:v>45342</c:v>
                </c:pt>
                <c:pt idx="458">
                  <c:v>45341</c:v>
                </c:pt>
                <c:pt idx="459">
                  <c:v>45338</c:v>
                </c:pt>
                <c:pt idx="460">
                  <c:v>45337</c:v>
                </c:pt>
                <c:pt idx="461">
                  <c:v>45336</c:v>
                </c:pt>
                <c:pt idx="462">
                  <c:v>45335</c:v>
                </c:pt>
                <c:pt idx="463">
                  <c:v>45334</c:v>
                </c:pt>
                <c:pt idx="464">
                  <c:v>45331</c:v>
                </c:pt>
                <c:pt idx="465">
                  <c:v>45330</c:v>
                </c:pt>
                <c:pt idx="466">
                  <c:v>45329</c:v>
                </c:pt>
                <c:pt idx="467">
                  <c:v>45328</c:v>
                </c:pt>
                <c:pt idx="468">
                  <c:v>45327</c:v>
                </c:pt>
                <c:pt idx="469">
                  <c:v>45324</c:v>
                </c:pt>
                <c:pt idx="470">
                  <c:v>45323</c:v>
                </c:pt>
                <c:pt idx="471">
                  <c:v>45322</c:v>
                </c:pt>
                <c:pt idx="472">
                  <c:v>45321</c:v>
                </c:pt>
                <c:pt idx="473">
                  <c:v>45320</c:v>
                </c:pt>
                <c:pt idx="474">
                  <c:v>45316</c:v>
                </c:pt>
                <c:pt idx="475">
                  <c:v>45315</c:v>
                </c:pt>
                <c:pt idx="476">
                  <c:v>45314</c:v>
                </c:pt>
                <c:pt idx="477">
                  <c:v>45311</c:v>
                </c:pt>
                <c:pt idx="478">
                  <c:v>45310</c:v>
                </c:pt>
                <c:pt idx="479">
                  <c:v>45309</c:v>
                </c:pt>
                <c:pt idx="480">
                  <c:v>45308</c:v>
                </c:pt>
                <c:pt idx="481">
                  <c:v>45307</c:v>
                </c:pt>
                <c:pt idx="482">
                  <c:v>45306</c:v>
                </c:pt>
                <c:pt idx="483">
                  <c:v>45303</c:v>
                </c:pt>
                <c:pt idx="484">
                  <c:v>45302</c:v>
                </c:pt>
                <c:pt idx="485">
                  <c:v>45301</c:v>
                </c:pt>
                <c:pt idx="486">
                  <c:v>45300</c:v>
                </c:pt>
                <c:pt idx="487">
                  <c:v>45299</c:v>
                </c:pt>
                <c:pt idx="488">
                  <c:v>45296</c:v>
                </c:pt>
                <c:pt idx="489">
                  <c:v>45295</c:v>
                </c:pt>
                <c:pt idx="490">
                  <c:v>45294</c:v>
                </c:pt>
                <c:pt idx="491">
                  <c:v>45293</c:v>
                </c:pt>
                <c:pt idx="492">
                  <c:v>45292</c:v>
                </c:pt>
                <c:pt idx="493">
                  <c:v>45289</c:v>
                </c:pt>
                <c:pt idx="494">
                  <c:v>45288</c:v>
                </c:pt>
                <c:pt idx="495">
                  <c:v>45287</c:v>
                </c:pt>
                <c:pt idx="496">
                  <c:v>45286</c:v>
                </c:pt>
                <c:pt idx="497">
                  <c:v>45282</c:v>
                </c:pt>
                <c:pt idx="498">
                  <c:v>45281</c:v>
                </c:pt>
                <c:pt idx="499">
                  <c:v>45280</c:v>
                </c:pt>
                <c:pt idx="500">
                  <c:v>45279</c:v>
                </c:pt>
                <c:pt idx="501">
                  <c:v>45278</c:v>
                </c:pt>
                <c:pt idx="502">
                  <c:v>45275</c:v>
                </c:pt>
                <c:pt idx="503">
                  <c:v>45274</c:v>
                </c:pt>
                <c:pt idx="504">
                  <c:v>45273</c:v>
                </c:pt>
                <c:pt idx="505">
                  <c:v>45272</c:v>
                </c:pt>
                <c:pt idx="506">
                  <c:v>45271</c:v>
                </c:pt>
                <c:pt idx="507">
                  <c:v>45268</c:v>
                </c:pt>
                <c:pt idx="508">
                  <c:v>45267</c:v>
                </c:pt>
                <c:pt idx="509">
                  <c:v>45266</c:v>
                </c:pt>
                <c:pt idx="510">
                  <c:v>45265</c:v>
                </c:pt>
                <c:pt idx="511">
                  <c:v>45264</c:v>
                </c:pt>
                <c:pt idx="512">
                  <c:v>45261</c:v>
                </c:pt>
                <c:pt idx="513">
                  <c:v>45260</c:v>
                </c:pt>
                <c:pt idx="514">
                  <c:v>45259</c:v>
                </c:pt>
                <c:pt idx="515">
                  <c:v>45258</c:v>
                </c:pt>
                <c:pt idx="516">
                  <c:v>45254</c:v>
                </c:pt>
                <c:pt idx="517">
                  <c:v>45253</c:v>
                </c:pt>
                <c:pt idx="518">
                  <c:v>45252</c:v>
                </c:pt>
                <c:pt idx="519">
                  <c:v>45251</c:v>
                </c:pt>
                <c:pt idx="520">
                  <c:v>45250</c:v>
                </c:pt>
                <c:pt idx="521">
                  <c:v>45247</c:v>
                </c:pt>
                <c:pt idx="522">
                  <c:v>45246</c:v>
                </c:pt>
                <c:pt idx="523">
                  <c:v>45245</c:v>
                </c:pt>
                <c:pt idx="524">
                  <c:v>45243</c:v>
                </c:pt>
                <c:pt idx="525">
                  <c:v>45242</c:v>
                </c:pt>
                <c:pt idx="526">
                  <c:v>45240</c:v>
                </c:pt>
                <c:pt idx="527">
                  <c:v>45239</c:v>
                </c:pt>
                <c:pt idx="528">
                  <c:v>45238</c:v>
                </c:pt>
                <c:pt idx="529">
                  <c:v>45237</c:v>
                </c:pt>
                <c:pt idx="530">
                  <c:v>45236</c:v>
                </c:pt>
                <c:pt idx="531">
                  <c:v>45233</c:v>
                </c:pt>
                <c:pt idx="532">
                  <c:v>45232</c:v>
                </c:pt>
                <c:pt idx="533">
                  <c:v>45231</c:v>
                </c:pt>
                <c:pt idx="534">
                  <c:v>45230</c:v>
                </c:pt>
                <c:pt idx="535">
                  <c:v>45229</c:v>
                </c:pt>
                <c:pt idx="536">
                  <c:v>45226</c:v>
                </c:pt>
                <c:pt idx="537">
                  <c:v>45225</c:v>
                </c:pt>
                <c:pt idx="538">
                  <c:v>45224</c:v>
                </c:pt>
                <c:pt idx="539">
                  <c:v>45222</c:v>
                </c:pt>
                <c:pt idx="540">
                  <c:v>45219</c:v>
                </c:pt>
                <c:pt idx="541">
                  <c:v>45218</c:v>
                </c:pt>
                <c:pt idx="542">
                  <c:v>45217</c:v>
                </c:pt>
                <c:pt idx="543">
                  <c:v>45216</c:v>
                </c:pt>
                <c:pt idx="544">
                  <c:v>45215</c:v>
                </c:pt>
                <c:pt idx="545">
                  <c:v>45212</c:v>
                </c:pt>
                <c:pt idx="546">
                  <c:v>45211</c:v>
                </c:pt>
                <c:pt idx="547">
                  <c:v>45210</c:v>
                </c:pt>
                <c:pt idx="548">
                  <c:v>45209</c:v>
                </c:pt>
                <c:pt idx="549">
                  <c:v>45208</c:v>
                </c:pt>
                <c:pt idx="550">
                  <c:v>45205</c:v>
                </c:pt>
                <c:pt idx="551">
                  <c:v>45204</c:v>
                </c:pt>
                <c:pt idx="552">
                  <c:v>45203</c:v>
                </c:pt>
                <c:pt idx="553">
                  <c:v>45202</c:v>
                </c:pt>
                <c:pt idx="554">
                  <c:v>45198</c:v>
                </c:pt>
                <c:pt idx="555">
                  <c:v>45197</c:v>
                </c:pt>
                <c:pt idx="556">
                  <c:v>45196</c:v>
                </c:pt>
                <c:pt idx="557">
                  <c:v>45195</c:v>
                </c:pt>
                <c:pt idx="558">
                  <c:v>45194</c:v>
                </c:pt>
                <c:pt idx="559">
                  <c:v>45191</c:v>
                </c:pt>
                <c:pt idx="560">
                  <c:v>45190</c:v>
                </c:pt>
                <c:pt idx="561">
                  <c:v>45189</c:v>
                </c:pt>
                <c:pt idx="562">
                  <c:v>45187</c:v>
                </c:pt>
                <c:pt idx="563">
                  <c:v>45184</c:v>
                </c:pt>
                <c:pt idx="564">
                  <c:v>45183</c:v>
                </c:pt>
                <c:pt idx="565">
                  <c:v>45182</c:v>
                </c:pt>
                <c:pt idx="566">
                  <c:v>45181</c:v>
                </c:pt>
                <c:pt idx="567">
                  <c:v>45180</c:v>
                </c:pt>
                <c:pt idx="568">
                  <c:v>45177</c:v>
                </c:pt>
                <c:pt idx="569">
                  <c:v>45176</c:v>
                </c:pt>
                <c:pt idx="570">
                  <c:v>45175</c:v>
                </c:pt>
                <c:pt idx="571">
                  <c:v>45174</c:v>
                </c:pt>
                <c:pt idx="572">
                  <c:v>45173</c:v>
                </c:pt>
                <c:pt idx="573">
                  <c:v>45170</c:v>
                </c:pt>
                <c:pt idx="574">
                  <c:v>45169</c:v>
                </c:pt>
                <c:pt idx="575">
                  <c:v>45168</c:v>
                </c:pt>
                <c:pt idx="576">
                  <c:v>45167</c:v>
                </c:pt>
                <c:pt idx="577">
                  <c:v>45166</c:v>
                </c:pt>
                <c:pt idx="578">
                  <c:v>45163</c:v>
                </c:pt>
                <c:pt idx="579">
                  <c:v>45162</c:v>
                </c:pt>
                <c:pt idx="580">
                  <c:v>45161</c:v>
                </c:pt>
                <c:pt idx="581">
                  <c:v>45160</c:v>
                </c:pt>
                <c:pt idx="582">
                  <c:v>45159</c:v>
                </c:pt>
                <c:pt idx="583">
                  <c:v>45156</c:v>
                </c:pt>
                <c:pt idx="584">
                  <c:v>45155</c:v>
                </c:pt>
                <c:pt idx="585">
                  <c:v>45154</c:v>
                </c:pt>
                <c:pt idx="586">
                  <c:v>45152</c:v>
                </c:pt>
                <c:pt idx="587">
                  <c:v>45149</c:v>
                </c:pt>
                <c:pt idx="588">
                  <c:v>45148</c:v>
                </c:pt>
                <c:pt idx="589">
                  <c:v>45147</c:v>
                </c:pt>
                <c:pt idx="590">
                  <c:v>45146</c:v>
                </c:pt>
                <c:pt idx="591">
                  <c:v>45145</c:v>
                </c:pt>
                <c:pt idx="592">
                  <c:v>45142</c:v>
                </c:pt>
                <c:pt idx="593">
                  <c:v>45141</c:v>
                </c:pt>
                <c:pt idx="594">
                  <c:v>45140</c:v>
                </c:pt>
                <c:pt idx="595">
                  <c:v>45139</c:v>
                </c:pt>
                <c:pt idx="596">
                  <c:v>45138</c:v>
                </c:pt>
                <c:pt idx="597">
                  <c:v>45135</c:v>
                </c:pt>
                <c:pt idx="598">
                  <c:v>45134</c:v>
                </c:pt>
                <c:pt idx="599">
                  <c:v>45133</c:v>
                </c:pt>
                <c:pt idx="600">
                  <c:v>45132</c:v>
                </c:pt>
                <c:pt idx="601">
                  <c:v>45131</c:v>
                </c:pt>
                <c:pt idx="602">
                  <c:v>45128</c:v>
                </c:pt>
                <c:pt idx="603">
                  <c:v>45127</c:v>
                </c:pt>
                <c:pt idx="604">
                  <c:v>45126</c:v>
                </c:pt>
                <c:pt idx="605">
                  <c:v>45125</c:v>
                </c:pt>
                <c:pt idx="606">
                  <c:v>45124</c:v>
                </c:pt>
                <c:pt idx="607">
                  <c:v>45121</c:v>
                </c:pt>
                <c:pt idx="608">
                  <c:v>45120</c:v>
                </c:pt>
                <c:pt idx="609">
                  <c:v>45119</c:v>
                </c:pt>
                <c:pt idx="610">
                  <c:v>45118</c:v>
                </c:pt>
                <c:pt idx="611">
                  <c:v>45117</c:v>
                </c:pt>
                <c:pt idx="612">
                  <c:v>45114</c:v>
                </c:pt>
                <c:pt idx="613">
                  <c:v>45113</c:v>
                </c:pt>
                <c:pt idx="614">
                  <c:v>45112</c:v>
                </c:pt>
                <c:pt idx="615">
                  <c:v>45111</c:v>
                </c:pt>
                <c:pt idx="616">
                  <c:v>45110</c:v>
                </c:pt>
                <c:pt idx="617">
                  <c:v>45107</c:v>
                </c:pt>
                <c:pt idx="618">
                  <c:v>45105</c:v>
                </c:pt>
                <c:pt idx="619">
                  <c:v>45104</c:v>
                </c:pt>
                <c:pt idx="620">
                  <c:v>45103</c:v>
                </c:pt>
                <c:pt idx="621">
                  <c:v>45100</c:v>
                </c:pt>
                <c:pt idx="622">
                  <c:v>45099</c:v>
                </c:pt>
                <c:pt idx="623">
                  <c:v>45098</c:v>
                </c:pt>
                <c:pt idx="624">
                  <c:v>45097</c:v>
                </c:pt>
                <c:pt idx="625">
                  <c:v>45096</c:v>
                </c:pt>
                <c:pt idx="626">
                  <c:v>45093</c:v>
                </c:pt>
                <c:pt idx="627">
                  <c:v>45092</c:v>
                </c:pt>
                <c:pt idx="628">
                  <c:v>45091</c:v>
                </c:pt>
                <c:pt idx="629">
                  <c:v>45090</c:v>
                </c:pt>
                <c:pt idx="630">
                  <c:v>45089</c:v>
                </c:pt>
                <c:pt idx="631">
                  <c:v>45086</c:v>
                </c:pt>
                <c:pt idx="632">
                  <c:v>45085</c:v>
                </c:pt>
                <c:pt idx="633">
                  <c:v>45084</c:v>
                </c:pt>
                <c:pt idx="634">
                  <c:v>45083</c:v>
                </c:pt>
                <c:pt idx="635">
                  <c:v>45082</c:v>
                </c:pt>
                <c:pt idx="636">
                  <c:v>45079</c:v>
                </c:pt>
                <c:pt idx="637">
                  <c:v>45078</c:v>
                </c:pt>
                <c:pt idx="638">
                  <c:v>45077</c:v>
                </c:pt>
                <c:pt idx="639">
                  <c:v>45076</c:v>
                </c:pt>
                <c:pt idx="640">
                  <c:v>45075</c:v>
                </c:pt>
                <c:pt idx="641">
                  <c:v>45072</c:v>
                </c:pt>
                <c:pt idx="642">
                  <c:v>45071</c:v>
                </c:pt>
                <c:pt idx="643">
                  <c:v>45070</c:v>
                </c:pt>
                <c:pt idx="644">
                  <c:v>45069</c:v>
                </c:pt>
                <c:pt idx="645">
                  <c:v>45068</c:v>
                </c:pt>
                <c:pt idx="646">
                  <c:v>45065</c:v>
                </c:pt>
                <c:pt idx="647">
                  <c:v>45064</c:v>
                </c:pt>
                <c:pt idx="648">
                  <c:v>45063</c:v>
                </c:pt>
                <c:pt idx="649">
                  <c:v>45062</c:v>
                </c:pt>
                <c:pt idx="650">
                  <c:v>45061</c:v>
                </c:pt>
                <c:pt idx="651">
                  <c:v>45058</c:v>
                </c:pt>
                <c:pt idx="652">
                  <c:v>45057</c:v>
                </c:pt>
                <c:pt idx="653">
                  <c:v>45056</c:v>
                </c:pt>
                <c:pt idx="654">
                  <c:v>45055</c:v>
                </c:pt>
                <c:pt idx="655">
                  <c:v>45054</c:v>
                </c:pt>
                <c:pt idx="656">
                  <c:v>45051</c:v>
                </c:pt>
                <c:pt idx="657">
                  <c:v>45050</c:v>
                </c:pt>
                <c:pt idx="658">
                  <c:v>45049</c:v>
                </c:pt>
                <c:pt idx="659">
                  <c:v>45048</c:v>
                </c:pt>
                <c:pt idx="660">
                  <c:v>45044</c:v>
                </c:pt>
                <c:pt idx="661">
                  <c:v>45043</c:v>
                </c:pt>
                <c:pt idx="662">
                  <c:v>45042</c:v>
                </c:pt>
                <c:pt idx="663">
                  <c:v>45041</c:v>
                </c:pt>
                <c:pt idx="664">
                  <c:v>45040</c:v>
                </c:pt>
                <c:pt idx="665">
                  <c:v>45037</c:v>
                </c:pt>
                <c:pt idx="666">
                  <c:v>45036</c:v>
                </c:pt>
                <c:pt idx="667">
                  <c:v>45035</c:v>
                </c:pt>
                <c:pt idx="668">
                  <c:v>45034</c:v>
                </c:pt>
                <c:pt idx="669">
                  <c:v>45033</c:v>
                </c:pt>
                <c:pt idx="670">
                  <c:v>45029</c:v>
                </c:pt>
                <c:pt idx="671">
                  <c:v>45028</c:v>
                </c:pt>
                <c:pt idx="672">
                  <c:v>45027</c:v>
                </c:pt>
                <c:pt idx="673">
                  <c:v>45026</c:v>
                </c:pt>
                <c:pt idx="674">
                  <c:v>45022</c:v>
                </c:pt>
                <c:pt idx="675">
                  <c:v>45021</c:v>
                </c:pt>
                <c:pt idx="676">
                  <c:v>45019</c:v>
                </c:pt>
                <c:pt idx="677">
                  <c:v>45016</c:v>
                </c:pt>
                <c:pt idx="678">
                  <c:v>45014</c:v>
                </c:pt>
                <c:pt idx="679">
                  <c:v>45013</c:v>
                </c:pt>
                <c:pt idx="680">
                  <c:v>45012</c:v>
                </c:pt>
                <c:pt idx="681">
                  <c:v>45009</c:v>
                </c:pt>
                <c:pt idx="682">
                  <c:v>45008</c:v>
                </c:pt>
                <c:pt idx="683">
                  <c:v>45007</c:v>
                </c:pt>
                <c:pt idx="684">
                  <c:v>45006</c:v>
                </c:pt>
                <c:pt idx="685">
                  <c:v>45005</c:v>
                </c:pt>
                <c:pt idx="686">
                  <c:v>45002</c:v>
                </c:pt>
                <c:pt idx="687">
                  <c:v>45001</c:v>
                </c:pt>
                <c:pt idx="688">
                  <c:v>45000</c:v>
                </c:pt>
                <c:pt idx="689">
                  <c:v>44999</c:v>
                </c:pt>
                <c:pt idx="690">
                  <c:v>44998</c:v>
                </c:pt>
                <c:pt idx="691">
                  <c:v>44995</c:v>
                </c:pt>
                <c:pt idx="692">
                  <c:v>44994</c:v>
                </c:pt>
                <c:pt idx="693">
                  <c:v>44993</c:v>
                </c:pt>
                <c:pt idx="694">
                  <c:v>44991</c:v>
                </c:pt>
                <c:pt idx="695">
                  <c:v>44988</c:v>
                </c:pt>
                <c:pt idx="696">
                  <c:v>44987</c:v>
                </c:pt>
                <c:pt idx="697">
                  <c:v>44986</c:v>
                </c:pt>
                <c:pt idx="698">
                  <c:v>44985</c:v>
                </c:pt>
                <c:pt idx="699">
                  <c:v>44984</c:v>
                </c:pt>
                <c:pt idx="700">
                  <c:v>44981</c:v>
                </c:pt>
                <c:pt idx="701">
                  <c:v>44980</c:v>
                </c:pt>
                <c:pt idx="702">
                  <c:v>44979</c:v>
                </c:pt>
                <c:pt idx="703">
                  <c:v>44978</c:v>
                </c:pt>
                <c:pt idx="704">
                  <c:v>44977</c:v>
                </c:pt>
                <c:pt idx="705">
                  <c:v>44974</c:v>
                </c:pt>
                <c:pt idx="706">
                  <c:v>44973</c:v>
                </c:pt>
                <c:pt idx="707">
                  <c:v>44972</c:v>
                </c:pt>
                <c:pt idx="708">
                  <c:v>44971</c:v>
                </c:pt>
                <c:pt idx="709">
                  <c:v>44970</c:v>
                </c:pt>
                <c:pt idx="710">
                  <c:v>44967</c:v>
                </c:pt>
                <c:pt idx="711">
                  <c:v>44966</c:v>
                </c:pt>
                <c:pt idx="712">
                  <c:v>44965</c:v>
                </c:pt>
                <c:pt idx="713">
                  <c:v>44964</c:v>
                </c:pt>
                <c:pt idx="714">
                  <c:v>44963</c:v>
                </c:pt>
                <c:pt idx="715">
                  <c:v>44960</c:v>
                </c:pt>
                <c:pt idx="716">
                  <c:v>44959</c:v>
                </c:pt>
                <c:pt idx="717">
                  <c:v>44958</c:v>
                </c:pt>
                <c:pt idx="718">
                  <c:v>44957</c:v>
                </c:pt>
                <c:pt idx="719">
                  <c:v>44956</c:v>
                </c:pt>
                <c:pt idx="720">
                  <c:v>44953</c:v>
                </c:pt>
                <c:pt idx="721">
                  <c:v>44951</c:v>
                </c:pt>
                <c:pt idx="722">
                  <c:v>44950</c:v>
                </c:pt>
                <c:pt idx="723">
                  <c:v>44949</c:v>
                </c:pt>
                <c:pt idx="724">
                  <c:v>44946</c:v>
                </c:pt>
                <c:pt idx="725">
                  <c:v>44945</c:v>
                </c:pt>
                <c:pt idx="726">
                  <c:v>44944</c:v>
                </c:pt>
                <c:pt idx="727">
                  <c:v>44943</c:v>
                </c:pt>
                <c:pt idx="728">
                  <c:v>44942</c:v>
                </c:pt>
                <c:pt idx="729">
                  <c:v>44939</c:v>
                </c:pt>
                <c:pt idx="730">
                  <c:v>44938</c:v>
                </c:pt>
                <c:pt idx="731">
                  <c:v>44937</c:v>
                </c:pt>
                <c:pt idx="732">
                  <c:v>44936</c:v>
                </c:pt>
                <c:pt idx="733">
                  <c:v>44935</c:v>
                </c:pt>
                <c:pt idx="734">
                  <c:v>44932</c:v>
                </c:pt>
                <c:pt idx="735">
                  <c:v>44931</c:v>
                </c:pt>
                <c:pt idx="736">
                  <c:v>44930</c:v>
                </c:pt>
                <c:pt idx="737">
                  <c:v>44929</c:v>
                </c:pt>
                <c:pt idx="738">
                  <c:v>44928</c:v>
                </c:pt>
                <c:pt idx="739">
                  <c:v>44925</c:v>
                </c:pt>
                <c:pt idx="740">
                  <c:v>44924</c:v>
                </c:pt>
                <c:pt idx="741">
                  <c:v>44923</c:v>
                </c:pt>
                <c:pt idx="742">
                  <c:v>44922</c:v>
                </c:pt>
                <c:pt idx="743">
                  <c:v>44921</c:v>
                </c:pt>
                <c:pt idx="744">
                  <c:v>44918</c:v>
                </c:pt>
                <c:pt idx="745">
                  <c:v>44917</c:v>
                </c:pt>
                <c:pt idx="746">
                  <c:v>44916</c:v>
                </c:pt>
                <c:pt idx="747">
                  <c:v>44915</c:v>
                </c:pt>
                <c:pt idx="748">
                  <c:v>44914</c:v>
                </c:pt>
                <c:pt idx="749">
                  <c:v>44911</c:v>
                </c:pt>
                <c:pt idx="750">
                  <c:v>44910</c:v>
                </c:pt>
                <c:pt idx="751">
                  <c:v>44909</c:v>
                </c:pt>
                <c:pt idx="752">
                  <c:v>44908</c:v>
                </c:pt>
                <c:pt idx="753">
                  <c:v>44907</c:v>
                </c:pt>
                <c:pt idx="754">
                  <c:v>44904</c:v>
                </c:pt>
                <c:pt idx="755">
                  <c:v>44903</c:v>
                </c:pt>
                <c:pt idx="756">
                  <c:v>44902</c:v>
                </c:pt>
                <c:pt idx="757">
                  <c:v>44901</c:v>
                </c:pt>
                <c:pt idx="758">
                  <c:v>44900</c:v>
                </c:pt>
                <c:pt idx="759">
                  <c:v>44897</c:v>
                </c:pt>
                <c:pt idx="760">
                  <c:v>44896</c:v>
                </c:pt>
                <c:pt idx="761">
                  <c:v>44895</c:v>
                </c:pt>
                <c:pt idx="762">
                  <c:v>44894</c:v>
                </c:pt>
                <c:pt idx="763">
                  <c:v>44893</c:v>
                </c:pt>
                <c:pt idx="764">
                  <c:v>44890</c:v>
                </c:pt>
                <c:pt idx="765">
                  <c:v>44889</c:v>
                </c:pt>
                <c:pt idx="766">
                  <c:v>44888</c:v>
                </c:pt>
                <c:pt idx="767">
                  <c:v>44887</c:v>
                </c:pt>
                <c:pt idx="768">
                  <c:v>44886</c:v>
                </c:pt>
                <c:pt idx="769">
                  <c:v>44883</c:v>
                </c:pt>
                <c:pt idx="770">
                  <c:v>44882</c:v>
                </c:pt>
                <c:pt idx="771">
                  <c:v>44881</c:v>
                </c:pt>
                <c:pt idx="772">
                  <c:v>44880</c:v>
                </c:pt>
                <c:pt idx="773">
                  <c:v>44879</c:v>
                </c:pt>
                <c:pt idx="774">
                  <c:v>44876</c:v>
                </c:pt>
                <c:pt idx="775">
                  <c:v>44875</c:v>
                </c:pt>
                <c:pt idx="776">
                  <c:v>44874</c:v>
                </c:pt>
                <c:pt idx="777">
                  <c:v>44872</c:v>
                </c:pt>
                <c:pt idx="778">
                  <c:v>44869</c:v>
                </c:pt>
                <c:pt idx="779">
                  <c:v>44868</c:v>
                </c:pt>
                <c:pt idx="780">
                  <c:v>44867</c:v>
                </c:pt>
                <c:pt idx="781">
                  <c:v>44866</c:v>
                </c:pt>
                <c:pt idx="782">
                  <c:v>44865</c:v>
                </c:pt>
                <c:pt idx="783">
                  <c:v>44862</c:v>
                </c:pt>
                <c:pt idx="784">
                  <c:v>44861</c:v>
                </c:pt>
                <c:pt idx="785">
                  <c:v>44859</c:v>
                </c:pt>
                <c:pt idx="786">
                  <c:v>44858</c:v>
                </c:pt>
                <c:pt idx="787">
                  <c:v>44855</c:v>
                </c:pt>
                <c:pt idx="788">
                  <c:v>44854</c:v>
                </c:pt>
                <c:pt idx="789">
                  <c:v>44853</c:v>
                </c:pt>
                <c:pt idx="790">
                  <c:v>44852</c:v>
                </c:pt>
                <c:pt idx="791">
                  <c:v>44851</c:v>
                </c:pt>
                <c:pt idx="792">
                  <c:v>44848</c:v>
                </c:pt>
                <c:pt idx="793">
                  <c:v>44847</c:v>
                </c:pt>
                <c:pt idx="794">
                  <c:v>44846</c:v>
                </c:pt>
                <c:pt idx="795">
                  <c:v>44845</c:v>
                </c:pt>
                <c:pt idx="796">
                  <c:v>44844</c:v>
                </c:pt>
                <c:pt idx="797">
                  <c:v>44841</c:v>
                </c:pt>
                <c:pt idx="798">
                  <c:v>44840</c:v>
                </c:pt>
                <c:pt idx="799">
                  <c:v>44838</c:v>
                </c:pt>
                <c:pt idx="800">
                  <c:v>44837</c:v>
                </c:pt>
                <c:pt idx="801">
                  <c:v>44834</c:v>
                </c:pt>
                <c:pt idx="802">
                  <c:v>44833</c:v>
                </c:pt>
                <c:pt idx="803">
                  <c:v>44832</c:v>
                </c:pt>
                <c:pt idx="804">
                  <c:v>44831</c:v>
                </c:pt>
                <c:pt idx="805">
                  <c:v>44830</c:v>
                </c:pt>
                <c:pt idx="806">
                  <c:v>44827</c:v>
                </c:pt>
                <c:pt idx="807">
                  <c:v>44826</c:v>
                </c:pt>
                <c:pt idx="808">
                  <c:v>44825</c:v>
                </c:pt>
                <c:pt idx="809">
                  <c:v>44824</c:v>
                </c:pt>
                <c:pt idx="810">
                  <c:v>44823</c:v>
                </c:pt>
                <c:pt idx="811">
                  <c:v>44820</c:v>
                </c:pt>
                <c:pt idx="812">
                  <c:v>44819</c:v>
                </c:pt>
                <c:pt idx="813">
                  <c:v>44818</c:v>
                </c:pt>
                <c:pt idx="814">
                  <c:v>44817</c:v>
                </c:pt>
                <c:pt idx="815">
                  <c:v>44816</c:v>
                </c:pt>
                <c:pt idx="816">
                  <c:v>44813</c:v>
                </c:pt>
                <c:pt idx="817">
                  <c:v>44812</c:v>
                </c:pt>
                <c:pt idx="818">
                  <c:v>44811</c:v>
                </c:pt>
                <c:pt idx="819">
                  <c:v>44810</c:v>
                </c:pt>
                <c:pt idx="820">
                  <c:v>44809</c:v>
                </c:pt>
                <c:pt idx="821">
                  <c:v>44806</c:v>
                </c:pt>
                <c:pt idx="822">
                  <c:v>44805</c:v>
                </c:pt>
                <c:pt idx="823">
                  <c:v>44803</c:v>
                </c:pt>
                <c:pt idx="824">
                  <c:v>44802</c:v>
                </c:pt>
                <c:pt idx="825">
                  <c:v>44799</c:v>
                </c:pt>
                <c:pt idx="826">
                  <c:v>44798</c:v>
                </c:pt>
                <c:pt idx="827">
                  <c:v>44797</c:v>
                </c:pt>
                <c:pt idx="828">
                  <c:v>44796</c:v>
                </c:pt>
                <c:pt idx="829">
                  <c:v>44795</c:v>
                </c:pt>
                <c:pt idx="830">
                  <c:v>44792</c:v>
                </c:pt>
                <c:pt idx="831">
                  <c:v>44791</c:v>
                </c:pt>
                <c:pt idx="832">
                  <c:v>44790</c:v>
                </c:pt>
                <c:pt idx="833">
                  <c:v>44789</c:v>
                </c:pt>
                <c:pt idx="834">
                  <c:v>44785</c:v>
                </c:pt>
                <c:pt idx="835">
                  <c:v>44784</c:v>
                </c:pt>
                <c:pt idx="836">
                  <c:v>44783</c:v>
                </c:pt>
                <c:pt idx="837">
                  <c:v>44781</c:v>
                </c:pt>
                <c:pt idx="838">
                  <c:v>44778</c:v>
                </c:pt>
                <c:pt idx="839">
                  <c:v>44777</c:v>
                </c:pt>
                <c:pt idx="840">
                  <c:v>44776</c:v>
                </c:pt>
                <c:pt idx="841">
                  <c:v>44775</c:v>
                </c:pt>
                <c:pt idx="842">
                  <c:v>44774</c:v>
                </c:pt>
                <c:pt idx="843">
                  <c:v>44771</c:v>
                </c:pt>
                <c:pt idx="844">
                  <c:v>44770</c:v>
                </c:pt>
                <c:pt idx="845">
                  <c:v>44769</c:v>
                </c:pt>
                <c:pt idx="846">
                  <c:v>44768</c:v>
                </c:pt>
                <c:pt idx="847">
                  <c:v>44767</c:v>
                </c:pt>
                <c:pt idx="848">
                  <c:v>44764</c:v>
                </c:pt>
                <c:pt idx="849">
                  <c:v>44763</c:v>
                </c:pt>
                <c:pt idx="850">
                  <c:v>44762</c:v>
                </c:pt>
                <c:pt idx="851">
                  <c:v>44761</c:v>
                </c:pt>
                <c:pt idx="852">
                  <c:v>44760</c:v>
                </c:pt>
                <c:pt idx="853">
                  <c:v>44757</c:v>
                </c:pt>
                <c:pt idx="854">
                  <c:v>44756</c:v>
                </c:pt>
                <c:pt idx="855">
                  <c:v>44755</c:v>
                </c:pt>
                <c:pt idx="856">
                  <c:v>44754</c:v>
                </c:pt>
                <c:pt idx="857">
                  <c:v>44753</c:v>
                </c:pt>
                <c:pt idx="858">
                  <c:v>44750</c:v>
                </c:pt>
                <c:pt idx="859">
                  <c:v>44749</c:v>
                </c:pt>
                <c:pt idx="860">
                  <c:v>44748</c:v>
                </c:pt>
                <c:pt idx="861">
                  <c:v>44747</c:v>
                </c:pt>
                <c:pt idx="862">
                  <c:v>44746</c:v>
                </c:pt>
                <c:pt idx="863">
                  <c:v>44743</c:v>
                </c:pt>
                <c:pt idx="864">
                  <c:v>44742</c:v>
                </c:pt>
                <c:pt idx="865">
                  <c:v>44741</c:v>
                </c:pt>
                <c:pt idx="866">
                  <c:v>44740</c:v>
                </c:pt>
                <c:pt idx="867">
                  <c:v>44739</c:v>
                </c:pt>
                <c:pt idx="868">
                  <c:v>44736</c:v>
                </c:pt>
                <c:pt idx="869">
                  <c:v>44735</c:v>
                </c:pt>
                <c:pt idx="870">
                  <c:v>44734</c:v>
                </c:pt>
                <c:pt idx="871">
                  <c:v>44733</c:v>
                </c:pt>
                <c:pt idx="872">
                  <c:v>44732</c:v>
                </c:pt>
                <c:pt idx="873">
                  <c:v>44729</c:v>
                </c:pt>
                <c:pt idx="874">
                  <c:v>44728</c:v>
                </c:pt>
                <c:pt idx="875">
                  <c:v>44727</c:v>
                </c:pt>
                <c:pt idx="876">
                  <c:v>44726</c:v>
                </c:pt>
                <c:pt idx="877">
                  <c:v>44725</c:v>
                </c:pt>
                <c:pt idx="878">
                  <c:v>44722</c:v>
                </c:pt>
                <c:pt idx="879">
                  <c:v>44721</c:v>
                </c:pt>
                <c:pt idx="880">
                  <c:v>44720</c:v>
                </c:pt>
                <c:pt idx="881">
                  <c:v>44719</c:v>
                </c:pt>
                <c:pt idx="882">
                  <c:v>44718</c:v>
                </c:pt>
                <c:pt idx="883">
                  <c:v>44715</c:v>
                </c:pt>
                <c:pt idx="884">
                  <c:v>44714</c:v>
                </c:pt>
                <c:pt idx="885">
                  <c:v>44713</c:v>
                </c:pt>
                <c:pt idx="886">
                  <c:v>44712</c:v>
                </c:pt>
                <c:pt idx="887">
                  <c:v>44711</c:v>
                </c:pt>
                <c:pt idx="888">
                  <c:v>44708</c:v>
                </c:pt>
                <c:pt idx="889">
                  <c:v>44707</c:v>
                </c:pt>
                <c:pt idx="890">
                  <c:v>44706</c:v>
                </c:pt>
                <c:pt idx="891">
                  <c:v>44705</c:v>
                </c:pt>
                <c:pt idx="892">
                  <c:v>44704</c:v>
                </c:pt>
                <c:pt idx="893">
                  <c:v>44701</c:v>
                </c:pt>
                <c:pt idx="894">
                  <c:v>44700</c:v>
                </c:pt>
                <c:pt idx="895">
                  <c:v>44699</c:v>
                </c:pt>
                <c:pt idx="896">
                  <c:v>44698</c:v>
                </c:pt>
                <c:pt idx="897">
                  <c:v>44697</c:v>
                </c:pt>
                <c:pt idx="898">
                  <c:v>44694</c:v>
                </c:pt>
                <c:pt idx="899">
                  <c:v>44693</c:v>
                </c:pt>
                <c:pt idx="900">
                  <c:v>44692</c:v>
                </c:pt>
                <c:pt idx="901">
                  <c:v>44691</c:v>
                </c:pt>
                <c:pt idx="902">
                  <c:v>44690</c:v>
                </c:pt>
                <c:pt idx="903">
                  <c:v>44687</c:v>
                </c:pt>
                <c:pt idx="904">
                  <c:v>44686</c:v>
                </c:pt>
                <c:pt idx="905">
                  <c:v>44685</c:v>
                </c:pt>
                <c:pt idx="906">
                  <c:v>44683</c:v>
                </c:pt>
                <c:pt idx="907">
                  <c:v>44680</c:v>
                </c:pt>
                <c:pt idx="908">
                  <c:v>44679</c:v>
                </c:pt>
                <c:pt idx="909">
                  <c:v>44678</c:v>
                </c:pt>
                <c:pt idx="910">
                  <c:v>44677</c:v>
                </c:pt>
                <c:pt idx="911">
                  <c:v>44676</c:v>
                </c:pt>
                <c:pt idx="912">
                  <c:v>44673</c:v>
                </c:pt>
                <c:pt idx="913">
                  <c:v>44672</c:v>
                </c:pt>
                <c:pt idx="914">
                  <c:v>44671</c:v>
                </c:pt>
                <c:pt idx="915">
                  <c:v>44670</c:v>
                </c:pt>
                <c:pt idx="916">
                  <c:v>44669</c:v>
                </c:pt>
                <c:pt idx="917">
                  <c:v>44664</c:v>
                </c:pt>
                <c:pt idx="918">
                  <c:v>44663</c:v>
                </c:pt>
                <c:pt idx="919">
                  <c:v>44662</c:v>
                </c:pt>
                <c:pt idx="920">
                  <c:v>44659</c:v>
                </c:pt>
                <c:pt idx="921">
                  <c:v>44658</c:v>
                </c:pt>
                <c:pt idx="922">
                  <c:v>44657</c:v>
                </c:pt>
                <c:pt idx="923">
                  <c:v>44656</c:v>
                </c:pt>
                <c:pt idx="924">
                  <c:v>44655</c:v>
                </c:pt>
                <c:pt idx="925">
                  <c:v>44652</c:v>
                </c:pt>
                <c:pt idx="926">
                  <c:v>44651</c:v>
                </c:pt>
                <c:pt idx="927">
                  <c:v>44650</c:v>
                </c:pt>
                <c:pt idx="928">
                  <c:v>44649</c:v>
                </c:pt>
                <c:pt idx="929">
                  <c:v>44648</c:v>
                </c:pt>
                <c:pt idx="930">
                  <c:v>44645</c:v>
                </c:pt>
                <c:pt idx="931">
                  <c:v>44644</c:v>
                </c:pt>
                <c:pt idx="932">
                  <c:v>44643</c:v>
                </c:pt>
                <c:pt idx="933">
                  <c:v>44642</c:v>
                </c:pt>
                <c:pt idx="934">
                  <c:v>44641</c:v>
                </c:pt>
                <c:pt idx="935">
                  <c:v>44637</c:v>
                </c:pt>
                <c:pt idx="936">
                  <c:v>44636</c:v>
                </c:pt>
                <c:pt idx="937">
                  <c:v>44635</c:v>
                </c:pt>
                <c:pt idx="938">
                  <c:v>44634</c:v>
                </c:pt>
                <c:pt idx="939">
                  <c:v>44631</c:v>
                </c:pt>
                <c:pt idx="940">
                  <c:v>44630</c:v>
                </c:pt>
                <c:pt idx="941">
                  <c:v>44629</c:v>
                </c:pt>
                <c:pt idx="942">
                  <c:v>44628</c:v>
                </c:pt>
                <c:pt idx="943">
                  <c:v>44627</c:v>
                </c:pt>
                <c:pt idx="944">
                  <c:v>44624</c:v>
                </c:pt>
                <c:pt idx="945">
                  <c:v>44623</c:v>
                </c:pt>
                <c:pt idx="946">
                  <c:v>44622</c:v>
                </c:pt>
                <c:pt idx="947">
                  <c:v>44620</c:v>
                </c:pt>
                <c:pt idx="948">
                  <c:v>44617</c:v>
                </c:pt>
                <c:pt idx="949">
                  <c:v>44616</c:v>
                </c:pt>
                <c:pt idx="950">
                  <c:v>44615</c:v>
                </c:pt>
                <c:pt idx="951">
                  <c:v>44614</c:v>
                </c:pt>
                <c:pt idx="952">
                  <c:v>44613</c:v>
                </c:pt>
                <c:pt idx="953">
                  <c:v>44610</c:v>
                </c:pt>
                <c:pt idx="954">
                  <c:v>44609</c:v>
                </c:pt>
                <c:pt idx="955">
                  <c:v>44608</c:v>
                </c:pt>
                <c:pt idx="956">
                  <c:v>44607</c:v>
                </c:pt>
                <c:pt idx="957">
                  <c:v>44606</c:v>
                </c:pt>
                <c:pt idx="958">
                  <c:v>44603</c:v>
                </c:pt>
                <c:pt idx="959">
                  <c:v>44602</c:v>
                </c:pt>
                <c:pt idx="960">
                  <c:v>44601</c:v>
                </c:pt>
                <c:pt idx="961">
                  <c:v>44600</c:v>
                </c:pt>
                <c:pt idx="962">
                  <c:v>44599</c:v>
                </c:pt>
                <c:pt idx="963">
                  <c:v>44596</c:v>
                </c:pt>
                <c:pt idx="964">
                  <c:v>44595</c:v>
                </c:pt>
                <c:pt idx="965">
                  <c:v>44594</c:v>
                </c:pt>
                <c:pt idx="966">
                  <c:v>44593</c:v>
                </c:pt>
                <c:pt idx="967">
                  <c:v>44592</c:v>
                </c:pt>
                <c:pt idx="968">
                  <c:v>44589</c:v>
                </c:pt>
                <c:pt idx="969">
                  <c:v>44588</c:v>
                </c:pt>
                <c:pt idx="970">
                  <c:v>44586</c:v>
                </c:pt>
                <c:pt idx="971">
                  <c:v>44585</c:v>
                </c:pt>
                <c:pt idx="972">
                  <c:v>44582</c:v>
                </c:pt>
                <c:pt idx="973">
                  <c:v>44581</c:v>
                </c:pt>
                <c:pt idx="974">
                  <c:v>44580</c:v>
                </c:pt>
                <c:pt idx="975">
                  <c:v>44579</c:v>
                </c:pt>
                <c:pt idx="976">
                  <c:v>44578</c:v>
                </c:pt>
                <c:pt idx="977">
                  <c:v>44575</c:v>
                </c:pt>
                <c:pt idx="978">
                  <c:v>44574</c:v>
                </c:pt>
                <c:pt idx="979">
                  <c:v>44573</c:v>
                </c:pt>
                <c:pt idx="980">
                  <c:v>44572</c:v>
                </c:pt>
                <c:pt idx="981">
                  <c:v>44571</c:v>
                </c:pt>
                <c:pt idx="982">
                  <c:v>44568</c:v>
                </c:pt>
                <c:pt idx="983">
                  <c:v>44567</c:v>
                </c:pt>
                <c:pt idx="984">
                  <c:v>44566</c:v>
                </c:pt>
                <c:pt idx="985">
                  <c:v>44565</c:v>
                </c:pt>
                <c:pt idx="986">
                  <c:v>44564</c:v>
                </c:pt>
                <c:pt idx="987">
                  <c:v>44561</c:v>
                </c:pt>
                <c:pt idx="988">
                  <c:v>44560</c:v>
                </c:pt>
                <c:pt idx="989">
                  <c:v>44559</c:v>
                </c:pt>
                <c:pt idx="990">
                  <c:v>44558</c:v>
                </c:pt>
                <c:pt idx="991">
                  <c:v>44557</c:v>
                </c:pt>
                <c:pt idx="992">
                  <c:v>44554</c:v>
                </c:pt>
                <c:pt idx="993">
                  <c:v>44553</c:v>
                </c:pt>
                <c:pt idx="994">
                  <c:v>44552</c:v>
                </c:pt>
                <c:pt idx="995">
                  <c:v>44551</c:v>
                </c:pt>
                <c:pt idx="996">
                  <c:v>44550</c:v>
                </c:pt>
                <c:pt idx="997">
                  <c:v>44547</c:v>
                </c:pt>
                <c:pt idx="998">
                  <c:v>44546</c:v>
                </c:pt>
                <c:pt idx="999">
                  <c:v>44545</c:v>
                </c:pt>
                <c:pt idx="1000">
                  <c:v>44544</c:v>
                </c:pt>
                <c:pt idx="1001">
                  <c:v>44543</c:v>
                </c:pt>
                <c:pt idx="1002">
                  <c:v>44540</c:v>
                </c:pt>
                <c:pt idx="1003">
                  <c:v>44539</c:v>
                </c:pt>
                <c:pt idx="1004">
                  <c:v>44538</c:v>
                </c:pt>
                <c:pt idx="1005">
                  <c:v>44537</c:v>
                </c:pt>
                <c:pt idx="1006">
                  <c:v>44536</c:v>
                </c:pt>
                <c:pt idx="1007">
                  <c:v>44533</c:v>
                </c:pt>
                <c:pt idx="1008">
                  <c:v>44532</c:v>
                </c:pt>
                <c:pt idx="1009">
                  <c:v>44531</c:v>
                </c:pt>
                <c:pt idx="1010">
                  <c:v>44530</c:v>
                </c:pt>
                <c:pt idx="1011">
                  <c:v>44529</c:v>
                </c:pt>
                <c:pt idx="1012">
                  <c:v>44526</c:v>
                </c:pt>
                <c:pt idx="1013">
                  <c:v>44525</c:v>
                </c:pt>
                <c:pt idx="1014">
                  <c:v>44524</c:v>
                </c:pt>
                <c:pt idx="1015">
                  <c:v>44523</c:v>
                </c:pt>
                <c:pt idx="1016">
                  <c:v>44522</c:v>
                </c:pt>
                <c:pt idx="1017">
                  <c:v>44518</c:v>
                </c:pt>
                <c:pt idx="1018">
                  <c:v>44517</c:v>
                </c:pt>
                <c:pt idx="1019">
                  <c:v>44516</c:v>
                </c:pt>
                <c:pt idx="1020">
                  <c:v>44515</c:v>
                </c:pt>
                <c:pt idx="1021">
                  <c:v>44512</c:v>
                </c:pt>
                <c:pt idx="1022">
                  <c:v>44511</c:v>
                </c:pt>
                <c:pt idx="1023">
                  <c:v>44510</c:v>
                </c:pt>
                <c:pt idx="1024">
                  <c:v>44509</c:v>
                </c:pt>
                <c:pt idx="1025">
                  <c:v>44508</c:v>
                </c:pt>
                <c:pt idx="1026">
                  <c:v>44504</c:v>
                </c:pt>
                <c:pt idx="1027">
                  <c:v>44503</c:v>
                </c:pt>
                <c:pt idx="1028">
                  <c:v>44502</c:v>
                </c:pt>
                <c:pt idx="1029">
                  <c:v>44501</c:v>
                </c:pt>
                <c:pt idx="1030">
                  <c:v>44498</c:v>
                </c:pt>
                <c:pt idx="1031">
                  <c:v>44497</c:v>
                </c:pt>
                <c:pt idx="1032">
                  <c:v>44496</c:v>
                </c:pt>
                <c:pt idx="1033">
                  <c:v>44495</c:v>
                </c:pt>
                <c:pt idx="1034">
                  <c:v>44494</c:v>
                </c:pt>
                <c:pt idx="1035">
                  <c:v>44491</c:v>
                </c:pt>
                <c:pt idx="1036">
                  <c:v>44490</c:v>
                </c:pt>
                <c:pt idx="1037">
                  <c:v>44489</c:v>
                </c:pt>
                <c:pt idx="1038">
                  <c:v>44488</c:v>
                </c:pt>
                <c:pt idx="1039">
                  <c:v>44487</c:v>
                </c:pt>
                <c:pt idx="1040">
                  <c:v>44483</c:v>
                </c:pt>
                <c:pt idx="1041">
                  <c:v>44482</c:v>
                </c:pt>
                <c:pt idx="1042">
                  <c:v>44481</c:v>
                </c:pt>
                <c:pt idx="1043">
                  <c:v>44480</c:v>
                </c:pt>
                <c:pt idx="1044">
                  <c:v>44477</c:v>
                </c:pt>
                <c:pt idx="1045">
                  <c:v>44476</c:v>
                </c:pt>
                <c:pt idx="1046">
                  <c:v>44475</c:v>
                </c:pt>
                <c:pt idx="1047">
                  <c:v>44474</c:v>
                </c:pt>
                <c:pt idx="1048">
                  <c:v>44473</c:v>
                </c:pt>
                <c:pt idx="1049">
                  <c:v>44470</c:v>
                </c:pt>
                <c:pt idx="1050">
                  <c:v>44469</c:v>
                </c:pt>
                <c:pt idx="1051">
                  <c:v>44468</c:v>
                </c:pt>
                <c:pt idx="1052">
                  <c:v>44467</c:v>
                </c:pt>
                <c:pt idx="1053">
                  <c:v>44466</c:v>
                </c:pt>
                <c:pt idx="1054">
                  <c:v>44463</c:v>
                </c:pt>
                <c:pt idx="1055">
                  <c:v>44462</c:v>
                </c:pt>
                <c:pt idx="1056">
                  <c:v>44461</c:v>
                </c:pt>
                <c:pt idx="1057">
                  <c:v>44460</c:v>
                </c:pt>
                <c:pt idx="1058">
                  <c:v>44459</c:v>
                </c:pt>
                <c:pt idx="1059">
                  <c:v>44456</c:v>
                </c:pt>
                <c:pt idx="1060">
                  <c:v>44455</c:v>
                </c:pt>
                <c:pt idx="1061">
                  <c:v>44454</c:v>
                </c:pt>
                <c:pt idx="1062">
                  <c:v>44453</c:v>
                </c:pt>
                <c:pt idx="1063">
                  <c:v>44452</c:v>
                </c:pt>
                <c:pt idx="1064">
                  <c:v>44448</c:v>
                </c:pt>
                <c:pt idx="1065">
                  <c:v>44447</c:v>
                </c:pt>
                <c:pt idx="1066">
                  <c:v>44446</c:v>
                </c:pt>
                <c:pt idx="1067">
                  <c:v>44445</c:v>
                </c:pt>
                <c:pt idx="1068">
                  <c:v>44442</c:v>
                </c:pt>
                <c:pt idx="1069">
                  <c:v>44441</c:v>
                </c:pt>
                <c:pt idx="1070">
                  <c:v>44440</c:v>
                </c:pt>
                <c:pt idx="1071">
                  <c:v>44439</c:v>
                </c:pt>
                <c:pt idx="1072">
                  <c:v>44438</c:v>
                </c:pt>
                <c:pt idx="1073">
                  <c:v>44435</c:v>
                </c:pt>
                <c:pt idx="1074">
                  <c:v>44434</c:v>
                </c:pt>
                <c:pt idx="1075">
                  <c:v>44433</c:v>
                </c:pt>
                <c:pt idx="1076">
                  <c:v>44432</c:v>
                </c:pt>
                <c:pt idx="1077">
                  <c:v>44431</c:v>
                </c:pt>
                <c:pt idx="1078">
                  <c:v>44428</c:v>
                </c:pt>
                <c:pt idx="1079">
                  <c:v>44426</c:v>
                </c:pt>
                <c:pt idx="1080">
                  <c:v>44425</c:v>
                </c:pt>
                <c:pt idx="1081">
                  <c:v>44424</c:v>
                </c:pt>
                <c:pt idx="1082">
                  <c:v>44421</c:v>
                </c:pt>
                <c:pt idx="1083">
                  <c:v>44420</c:v>
                </c:pt>
                <c:pt idx="1084">
                  <c:v>44419</c:v>
                </c:pt>
                <c:pt idx="1085">
                  <c:v>44418</c:v>
                </c:pt>
                <c:pt idx="1086">
                  <c:v>44417</c:v>
                </c:pt>
                <c:pt idx="1087">
                  <c:v>44414</c:v>
                </c:pt>
                <c:pt idx="1088">
                  <c:v>44413</c:v>
                </c:pt>
                <c:pt idx="1089">
                  <c:v>44412</c:v>
                </c:pt>
                <c:pt idx="1090">
                  <c:v>44411</c:v>
                </c:pt>
                <c:pt idx="1091">
                  <c:v>44410</c:v>
                </c:pt>
                <c:pt idx="1092">
                  <c:v>44407</c:v>
                </c:pt>
                <c:pt idx="1093">
                  <c:v>44406</c:v>
                </c:pt>
                <c:pt idx="1094">
                  <c:v>44405</c:v>
                </c:pt>
                <c:pt idx="1095">
                  <c:v>44404</c:v>
                </c:pt>
                <c:pt idx="1096">
                  <c:v>44403</c:v>
                </c:pt>
                <c:pt idx="1097">
                  <c:v>44400</c:v>
                </c:pt>
                <c:pt idx="1098">
                  <c:v>44399</c:v>
                </c:pt>
                <c:pt idx="1099">
                  <c:v>44397</c:v>
                </c:pt>
                <c:pt idx="1100">
                  <c:v>44396</c:v>
                </c:pt>
                <c:pt idx="1101">
                  <c:v>44393</c:v>
                </c:pt>
                <c:pt idx="1102">
                  <c:v>44392</c:v>
                </c:pt>
                <c:pt idx="1103">
                  <c:v>44391</c:v>
                </c:pt>
                <c:pt idx="1104">
                  <c:v>44390</c:v>
                </c:pt>
                <c:pt idx="1105">
                  <c:v>44389</c:v>
                </c:pt>
                <c:pt idx="1106">
                  <c:v>44386</c:v>
                </c:pt>
                <c:pt idx="1107">
                  <c:v>44385</c:v>
                </c:pt>
                <c:pt idx="1108">
                  <c:v>44384</c:v>
                </c:pt>
                <c:pt idx="1109">
                  <c:v>44383</c:v>
                </c:pt>
                <c:pt idx="1110">
                  <c:v>44382</c:v>
                </c:pt>
                <c:pt idx="1111">
                  <c:v>44379</c:v>
                </c:pt>
                <c:pt idx="1112">
                  <c:v>44378</c:v>
                </c:pt>
                <c:pt idx="1113">
                  <c:v>44377</c:v>
                </c:pt>
                <c:pt idx="1114">
                  <c:v>44376</c:v>
                </c:pt>
                <c:pt idx="1115">
                  <c:v>44375</c:v>
                </c:pt>
                <c:pt idx="1116">
                  <c:v>44372</c:v>
                </c:pt>
                <c:pt idx="1117">
                  <c:v>44371</c:v>
                </c:pt>
                <c:pt idx="1118">
                  <c:v>44370</c:v>
                </c:pt>
                <c:pt idx="1119">
                  <c:v>44369</c:v>
                </c:pt>
                <c:pt idx="1120">
                  <c:v>44368</c:v>
                </c:pt>
                <c:pt idx="1121">
                  <c:v>44365</c:v>
                </c:pt>
                <c:pt idx="1122">
                  <c:v>44364</c:v>
                </c:pt>
                <c:pt idx="1123">
                  <c:v>44363</c:v>
                </c:pt>
                <c:pt idx="1124">
                  <c:v>44362</c:v>
                </c:pt>
                <c:pt idx="1125">
                  <c:v>44361</c:v>
                </c:pt>
                <c:pt idx="1126">
                  <c:v>44358</c:v>
                </c:pt>
                <c:pt idx="1127">
                  <c:v>44357</c:v>
                </c:pt>
                <c:pt idx="1128">
                  <c:v>44356</c:v>
                </c:pt>
                <c:pt idx="1129">
                  <c:v>44355</c:v>
                </c:pt>
                <c:pt idx="1130">
                  <c:v>44354</c:v>
                </c:pt>
                <c:pt idx="1131">
                  <c:v>44351</c:v>
                </c:pt>
                <c:pt idx="1132">
                  <c:v>44350</c:v>
                </c:pt>
                <c:pt idx="1133">
                  <c:v>44349</c:v>
                </c:pt>
                <c:pt idx="1134">
                  <c:v>44348</c:v>
                </c:pt>
                <c:pt idx="1135">
                  <c:v>44347</c:v>
                </c:pt>
                <c:pt idx="1136">
                  <c:v>44344</c:v>
                </c:pt>
                <c:pt idx="1137">
                  <c:v>44343</c:v>
                </c:pt>
                <c:pt idx="1138">
                  <c:v>44342</c:v>
                </c:pt>
                <c:pt idx="1139">
                  <c:v>44341</c:v>
                </c:pt>
                <c:pt idx="1140">
                  <c:v>44340</c:v>
                </c:pt>
                <c:pt idx="1141">
                  <c:v>44337</c:v>
                </c:pt>
                <c:pt idx="1142">
                  <c:v>44336</c:v>
                </c:pt>
                <c:pt idx="1143">
                  <c:v>44335</c:v>
                </c:pt>
                <c:pt idx="1144">
                  <c:v>44334</c:v>
                </c:pt>
                <c:pt idx="1145">
                  <c:v>44333</c:v>
                </c:pt>
                <c:pt idx="1146">
                  <c:v>44330</c:v>
                </c:pt>
                <c:pt idx="1147">
                  <c:v>44328</c:v>
                </c:pt>
                <c:pt idx="1148">
                  <c:v>44327</c:v>
                </c:pt>
                <c:pt idx="1149">
                  <c:v>44326</c:v>
                </c:pt>
                <c:pt idx="1150">
                  <c:v>44323</c:v>
                </c:pt>
                <c:pt idx="1151">
                  <c:v>44322</c:v>
                </c:pt>
                <c:pt idx="1152">
                  <c:v>44321</c:v>
                </c:pt>
                <c:pt idx="1153">
                  <c:v>44320</c:v>
                </c:pt>
                <c:pt idx="1154">
                  <c:v>44319</c:v>
                </c:pt>
                <c:pt idx="1155">
                  <c:v>44316</c:v>
                </c:pt>
                <c:pt idx="1156">
                  <c:v>44315</c:v>
                </c:pt>
                <c:pt idx="1157">
                  <c:v>44314</c:v>
                </c:pt>
                <c:pt idx="1158">
                  <c:v>44313</c:v>
                </c:pt>
                <c:pt idx="1159">
                  <c:v>44312</c:v>
                </c:pt>
                <c:pt idx="1160">
                  <c:v>44309</c:v>
                </c:pt>
                <c:pt idx="1161">
                  <c:v>44308</c:v>
                </c:pt>
                <c:pt idx="1162">
                  <c:v>44306</c:v>
                </c:pt>
                <c:pt idx="1163">
                  <c:v>44305</c:v>
                </c:pt>
                <c:pt idx="1164">
                  <c:v>44302</c:v>
                </c:pt>
                <c:pt idx="1165">
                  <c:v>44301</c:v>
                </c:pt>
                <c:pt idx="1166">
                  <c:v>44299</c:v>
                </c:pt>
                <c:pt idx="1167">
                  <c:v>44298</c:v>
                </c:pt>
                <c:pt idx="1168">
                  <c:v>44295</c:v>
                </c:pt>
                <c:pt idx="1169">
                  <c:v>44294</c:v>
                </c:pt>
                <c:pt idx="1170">
                  <c:v>44293</c:v>
                </c:pt>
                <c:pt idx="1171">
                  <c:v>44292</c:v>
                </c:pt>
                <c:pt idx="1172">
                  <c:v>44291</c:v>
                </c:pt>
                <c:pt idx="1173">
                  <c:v>44287</c:v>
                </c:pt>
                <c:pt idx="1174">
                  <c:v>44286</c:v>
                </c:pt>
                <c:pt idx="1175">
                  <c:v>44285</c:v>
                </c:pt>
                <c:pt idx="1176">
                  <c:v>44281</c:v>
                </c:pt>
                <c:pt idx="1177">
                  <c:v>44280</c:v>
                </c:pt>
                <c:pt idx="1178">
                  <c:v>44279</c:v>
                </c:pt>
                <c:pt idx="1179">
                  <c:v>44278</c:v>
                </c:pt>
                <c:pt idx="1180">
                  <c:v>44277</c:v>
                </c:pt>
                <c:pt idx="1181">
                  <c:v>44274</c:v>
                </c:pt>
                <c:pt idx="1182">
                  <c:v>44273</c:v>
                </c:pt>
                <c:pt idx="1183">
                  <c:v>44272</c:v>
                </c:pt>
                <c:pt idx="1184">
                  <c:v>44271</c:v>
                </c:pt>
                <c:pt idx="1185">
                  <c:v>44270</c:v>
                </c:pt>
                <c:pt idx="1186">
                  <c:v>44267</c:v>
                </c:pt>
                <c:pt idx="1187">
                  <c:v>44265</c:v>
                </c:pt>
                <c:pt idx="1188">
                  <c:v>44264</c:v>
                </c:pt>
                <c:pt idx="1189">
                  <c:v>44263</c:v>
                </c:pt>
                <c:pt idx="1190">
                  <c:v>44260</c:v>
                </c:pt>
                <c:pt idx="1191">
                  <c:v>44259</c:v>
                </c:pt>
                <c:pt idx="1192">
                  <c:v>44258</c:v>
                </c:pt>
                <c:pt idx="1193">
                  <c:v>44257</c:v>
                </c:pt>
                <c:pt idx="1194">
                  <c:v>44256</c:v>
                </c:pt>
                <c:pt idx="1195">
                  <c:v>44253</c:v>
                </c:pt>
                <c:pt idx="1196">
                  <c:v>44252</c:v>
                </c:pt>
                <c:pt idx="1197">
                  <c:v>44251</c:v>
                </c:pt>
                <c:pt idx="1198">
                  <c:v>44250</c:v>
                </c:pt>
                <c:pt idx="1199">
                  <c:v>44249</c:v>
                </c:pt>
                <c:pt idx="1200">
                  <c:v>44246</c:v>
                </c:pt>
                <c:pt idx="1201">
                  <c:v>44245</c:v>
                </c:pt>
                <c:pt idx="1202">
                  <c:v>44244</c:v>
                </c:pt>
                <c:pt idx="1203">
                  <c:v>44243</c:v>
                </c:pt>
                <c:pt idx="1204">
                  <c:v>44242</c:v>
                </c:pt>
                <c:pt idx="1205">
                  <c:v>44239</c:v>
                </c:pt>
                <c:pt idx="1206">
                  <c:v>44238</c:v>
                </c:pt>
                <c:pt idx="1207">
                  <c:v>44237</c:v>
                </c:pt>
                <c:pt idx="1208">
                  <c:v>44236</c:v>
                </c:pt>
                <c:pt idx="1209">
                  <c:v>44235</c:v>
                </c:pt>
                <c:pt idx="1210">
                  <c:v>44232</c:v>
                </c:pt>
                <c:pt idx="1211">
                  <c:v>44231</c:v>
                </c:pt>
                <c:pt idx="1212">
                  <c:v>44230</c:v>
                </c:pt>
                <c:pt idx="1213">
                  <c:v>44229</c:v>
                </c:pt>
                <c:pt idx="1214">
                  <c:v>44228</c:v>
                </c:pt>
                <c:pt idx="1215">
                  <c:v>44225</c:v>
                </c:pt>
                <c:pt idx="1216">
                  <c:v>44224</c:v>
                </c:pt>
                <c:pt idx="1217">
                  <c:v>44223</c:v>
                </c:pt>
                <c:pt idx="1218">
                  <c:v>44221</c:v>
                </c:pt>
                <c:pt idx="1219">
                  <c:v>44218</c:v>
                </c:pt>
                <c:pt idx="1220">
                  <c:v>44217</c:v>
                </c:pt>
                <c:pt idx="1221">
                  <c:v>44216</c:v>
                </c:pt>
                <c:pt idx="1222">
                  <c:v>44215</c:v>
                </c:pt>
                <c:pt idx="1223">
                  <c:v>44214</c:v>
                </c:pt>
                <c:pt idx="1224">
                  <c:v>44211</c:v>
                </c:pt>
                <c:pt idx="1225">
                  <c:v>44210</c:v>
                </c:pt>
                <c:pt idx="1226">
                  <c:v>44209</c:v>
                </c:pt>
                <c:pt idx="1227">
                  <c:v>44208</c:v>
                </c:pt>
                <c:pt idx="1228">
                  <c:v>44207</c:v>
                </c:pt>
                <c:pt idx="1229">
                  <c:v>44204</c:v>
                </c:pt>
                <c:pt idx="1230">
                  <c:v>44203</c:v>
                </c:pt>
                <c:pt idx="1231">
                  <c:v>44202</c:v>
                </c:pt>
                <c:pt idx="1232">
                  <c:v>44201</c:v>
                </c:pt>
                <c:pt idx="1233">
                  <c:v>44200</c:v>
                </c:pt>
                <c:pt idx="1234">
                  <c:v>44197</c:v>
                </c:pt>
                <c:pt idx="1235">
                  <c:v>44196</c:v>
                </c:pt>
                <c:pt idx="1236">
                  <c:v>44195</c:v>
                </c:pt>
                <c:pt idx="1237">
                  <c:v>44194</c:v>
                </c:pt>
                <c:pt idx="1238">
                  <c:v>44193</c:v>
                </c:pt>
              </c:numCache>
            </c:numRef>
          </c:cat>
          <c:val>
            <c:numRef>
              <c:f>'INPUT SHEET'!$G$4:$G$1242</c:f>
              <c:numCache>
                <c:formatCode>General</c:formatCode>
                <c:ptCount val="1239"/>
                <c:pt idx="0">
                  <c:v>1225</c:v>
                </c:pt>
                <c:pt idx="1">
                  <c:v>1233.2</c:v>
                </c:pt>
                <c:pt idx="2">
                  <c:v>1230.5999999999999</c:v>
                </c:pt>
                <c:pt idx="3">
                  <c:v>1229.8</c:v>
                </c:pt>
                <c:pt idx="4">
                  <c:v>1224.7</c:v>
                </c:pt>
                <c:pt idx="5">
                  <c:v>1219.5999999999999</c:v>
                </c:pt>
                <c:pt idx="6">
                  <c:v>1284.8</c:v>
                </c:pt>
                <c:pt idx="7">
                  <c:v>1286.0999999999999</c:v>
                </c:pt>
                <c:pt idx="8">
                  <c:v>1272.7</c:v>
                </c:pt>
                <c:pt idx="9">
                  <c:v>1278.5999999999999</c:v>
                </c:pt>
                <c:pt idx="10">
                  <c:v>1275.9000000000001</c:v>
                </c:pt>
                <c:pt idx="11">
                  <c:v>1273.8</c:v>
                </c:pt>
                <c:pt idx="12">
                  <c:v>1282.5</c:v>
                </c:pt>
                <c:pt idx="13">
                  <c:v>1280</c:v>
                </c:pt>
                <c:pt idx="14">
                  <c:v>1270.7</c:v>
                </c:pt>
                <c:pt idx="15">
                  <c:v>1258</c:v>
                </c:pt>
                <c:pt idx="16">
                  <c:v>1275.7</c:v>
                </c:pt>
                <c:pt idx="17">
                  <c:v>1279.7</c:v>
                </c:pt>
                <c:pt idx="18">
                  <c:v>1287.3</c:v>
                </c:pt>
                <c:pt idx="19">
                  <c:v>1290.2</c:v>
                </c:pt>
                <c:pt idx="20">
                  <c:v>1266.3</c:v>
                </c:pt>
                <c:pt idx="21">
                  <c:v>1269</c:v>
                </c:pt>
                <c:pt idx="22">
                  <c:v>1275.8</c:v>
                </c:pt>
                <c:pt idx="23">
                  <c:v>1285.2</c:v>
                </c:pt>
                <c:pt idx="24">
                  <c:v>1270.4000000000001</c:v>
                </c:pt>
                <c:pt idx="25">
                  <c:v>1265.4000000000001</c:v>
                </c:pt>
                <c:pt idx="26">
                  <c:v>1249.5999999999999</c:v>
                </c:pt>
                <c:pt idx="27">
                  <c:v>1241.5999999999999</c:v>
                </c:pt>
                <c:pt idx="28">
                  <c:v>1225.2</c:v>
                </c:pt>
                <c:pt idx="29">
                  <c:v>1221.5999999999999</c:v>
                </c:pt>
                <c:pt idx="30">
                  <c:v>1222.5</c:v>
                </c:pt>
                <c:pt idx="31">
                  <c:v>1217</c:v>
                </c:pt>
                <c:pt idx="32">
                  <c:v>1222.8</c:v>
                </c:pt>
                <c:pt idx="33">
                  <c:v>1228.5</c:v>
                </c:pt>
                <c:pt idx="34">
                  <c:v>1226.5999999999999</c:v>
                </c:pt>
                <c:pt idx="35">
                  <c:v>1233.7</c:v>
                </c:pt>
                <c:pt idx="36">
                  <c:v>1232.8</c:v>
                </c:pt>
                <c:pt idx="37">
                  <c:v>1238.5999999999999</c:v>
                </c:pt>
                <c:pt idx="38">
                  <c:v>1248.8</c:v>
                </c:pt>
                <c:pt idx="39">
                  <c:v>1246.3</c:v>
                </c:pt>
                <c:pt idx="40">
                  <c:v>1254.0999999999999</c:v>
                </c:pt>
                <c:pt idx="41">
                  <c:v>1241.9000000000001</c:v>
                </c:pt>
                <c:pt idx="42">
                  <c:v>1258.8</c:v>
                </c:pt>
                <c:pt idx="43">
                  <c:v>1237.3</c:v>
                </c:pt>
                <c:pt idx="44">
                  <c:v>1226</c:v>
                </c:pt>
                <c:pt idx="45">
                  <c:v>1200.2</c:v>
                </c:pt>
                <c:pt idx="46">
                  <c:v>1196.3</c:v>
                </c:pt>
                <c:pt idx="47">
                  <c:v>1169.5999999999999</c:v>
                </c:pt>
                <c:pt idx="48">
                  <c:v>1176.8</c:v>
                </c:pt>
                <c:pt idx="49">
                  <c:v>1189.5999999999999</c:v>
                </c:pt>
                <c:pt idx="50">
                  <c:v>1180.4000000000001</c:v>
                </c:pt>
                <c:pt idx="51">
                  <c:v>1167.4000000000001</c:v>
                </c:pt>
                <c:pt idx="52">
                  <c:v>1180.5999999999999</c:v>
                </c:pt>
                <c:pt idx="53">
                  <c:v>1186.8</c:v>
                </c:pt>
                <c:pt idx="54">
                  <c:v>1212.8</c:v>
                </c:pt>
                <c:pt idx="55">
                  <c:v>1181</c:v>
                </c:pt>
                <c:pt idx="56">
                  <c:v>1159.5</c:v>
                </c:pt>
                <c:pt idx="57">
                  <c:v>1131.5999999999999</c:v>
                </c:pt>
                <c:pt idx="58">
                  <c:v>1132.2</c:v>
                </c:pt>
                <c:pt idx="59">
                  <c:v>1154</c:v>
                </c:pt>
                <c:pt idx="60">
                  <c:v>1166.5999999999999</c:v>
                </c:pt>
                <c:pt idx="61">
                  <c:v>1158.9000000000001</c:v>
                </c:pt>
                <c:pt idx="62">
                  <c:v>1170.8</c:v>
                </c:pt>
                <c:pt idx="63">
                  <c:v>1144.4000000000001</c:v>
                </c:pt>
                <c:pt idx="64">
                  <c:v>1135.9000000000001</c:v>
                </c:pt>
                <c:pt idx="65">
                  <c:v>1133</c:v>
                </c:pt>
                <c:pt idx="66">
                  <c:v>1126</c:v>
                </c:pt>
                <c:pt idx="67">
                  <c:v>1121.2</c:v>
                </c:pt>
                <c:pt idx="68">
                  <c:v>1104.4000000000001</c:v>
                </c:pt>
                <c:pt idx="69">
                  <c:v>1105.3</c:v>
                </c:pt>
                <c:pt idx="70">
                  <c:v>1087.4000000000001</c:v>
                </c:pt>
                <c:pt idx="71">
                  <c:v>1070.0999999999999</c:v>
                </c:pt>
                <c:pt idx="72">
                  <c:v>1052.2</c:v>
                </c:pt>
                <c:pt idx="73">
                  <c:v>1055.5</c:v>
                </c:pt>
                <c:pt idx="74">
                  <c:v>1055.9000000000001</c:v>
                </c:pt>
                <c:pt idx="75">
                  <c:v>1050.4000000000001</c:v>
                </c:pt>
                <c:pt idx="76">
                  <c:v>1054.7</c:v>
                </c:pt>
                <c:pt idx="77">
                  <c:v>1056.2</c:v>
                </c:pt>
                <c:pt idx="78">
                  <c:v>1061.5</c:v>
                </c:pt>
                <c:pt idx="79">
                  <c:v>1045.2</c:v>
                </c:pt>
                <c:pt idx="80">
                  <c:v>1051.9000000000001</c:v>
                </c:pt>
                <c:pt idx="81">
                  <c:v>1050.0999999999999</c:v>
                </c:pt>
                <c:pt idx="82">
                  <c:v>1070</c:v>
                </c:pt>
                <c:pt idx="83">
                  <c:v>1070.9000000000001</c:v>
                </c:pt>
                <c:pt idx="84">
                  <c:v>1078.9000000000001</c:v>
                </c:pt>
                <c:pt idx="85">
                  <c:v>1080.2</c:v>
                </c:pt>
                <c:pt idx="86">
                  <c:v>1083.2</c:v>
                </c:pt>
                <c:pt idx="87">
                  <c:v>1082.5999999999999</c:v>
                </c:pt>
                <c:pt idx="88">
                  <c:v>1068.2</c:v>
                </c:pt>
                <c:pt idx="89">
                  <c:v>1066</c:v>
                </c:pt>
                <c:pt idx="90">
                  <c:v>1070</c:v>
                </c:pt>
                <c:pt idx="91">
                  <c:v>1073.3</c:v>
                </c:pt>
                <c:pt idx="92">
                  <c:v>1058.0999999999999</c:v>
                </c:pt>
                <c:pt idx="93">
                  <c:v>1076.2</c:v>
                </c:pt>
                <c:pt idx="94">
                  <c:v>1071</c:v>
                </c:pt>
                <c:pt idx="95">
                  <c:v>1070.8</c:v>
                </c:pt>
                <c:pt idx="96">
                  <c:v>1068.5999999999999</c:v>
                </c:pt>
                <c:pt idx="97">
                  <c:v>1062.4000000000001</c:v>
                </c:pt>
                <c:pt idx="98">
                  <c:v>1068.4000000000001</c:v>
                </c:pt>
                <c:pt idx="99">
                  <c:v>1073.3</c:v>
                </c:pt>
                <c:pt idx="100">
                  <c:v>1064.2</c:v>
                </c:pt>
                <c:pt idx="101">
                  <c:v>1073.5999999999999</c:v>
                </c:pt>
                <c:pt idx="102">
                  <c:v>1086.0999999999999</c:v>
                </c:pt>
                <c:pt idx="103">
                  <c:v>1095.0999999999999</c:v>
                </c:pt>
                <c:pt idx="104">
                  <c:v>1104.8</c:v>
                </c:pt>
                <c:pt idx="105">
                  <c:v>1098</c:v>
                </c:pt>
                <c:pt idx="106">
                  <c:v>1099.5999999999999</c:v>
                </c:pt>
                <c:pt idx="107">
                  <c:v>1099.3</c:v>
                </c:pt>
                <c:pt idx="108">
                  <c:v>1159.8</c:v>
                </c:pt>
                <c:pt idx="109">
                  <c:v>1168.4000000000001</c:v>
                </c:pt>
                <c:pt idx="110">
                  <c:v>1165.9000000000001</c:v>
                </c:pt>
                <c:pt idx="111">
                  <c:v>1172.7</c:v>
                </c:pt>
                <c:pt idx="112">
                  <c:v>1173.8</c:v>
                </c:pt>
                <c:pt idx="113">
                  <c:v>1164.3</c:v>
                </c:pt>
                <c:pt idx="114">
                  <c:v>1164.7</c:v>
                </c:pt>
                <c:pt idx="115">
                  <c:v>1165.4000000000001</c:v>
                </c:pt>
                <c:pt idx="116">
                  <c:v>1175.0999999999999</c:v>
                </c:pt>
                <c:pt idx="117">
                  <c:v>1177.5999999999999</c:v>
                </c:pt>
                <c:pt idx="118">
                  <c:v>1171.0999999999999</c:v>
                </c:pt>
                <c:pt idx="119">
                  <c:v>1175.3</c:v>
                </c:pt>
                <c:pt idx="120">
                  <c:v>1173.3</c:v>
                </c:pt>
                <c:pt idx="121">
                  <c:v>1199.2</c:v>
                </c:pt>
                <c:pt idx="122">
                  <c:v>1225.0999999999999</c:v>
                </c:pt>
                <c:pt idx="123">
                  <c:v>1233.5</c:v>
                </c:pt>
                <c:pt idx="124">
                  <c:v>1213.3</c:v>
                </c:pt>
                <c:pt idx="125">
                  <c:v>1221.2</c:v>
                </c:pt>
                <c:pt idx="126">
                  <c:v>1214.0999999999999</c:v>
                </c:pt>
                <c:pt idx="127">
                  <c:v>1220.7</c:v>
                </c:pt>
                <c:pt idx="128">
                  <c:v>1217.5</c:v>
                </c:pt>
                <c:pt idx="129">
                  <c:v>1221</c:v>
                </c:pt>
                <c:pt idx="130">
                  <c:v>1215.0999999999999</c:v>
                </c:pt>
                <c:pt idx="131">
                  <c:v>1215.4000000000001</c:v>
                </c:pt>
                <c:pt idx="132">
                  <c:v>1205.8</c:v>
                </c:pt>
                <c:pt idx="133">
                  <c:v>1212.9000000000001</c:v>
                </c:pt>
                <c:pt idx="134">
                  <c:v>1231.4000000000001</c:v>
                </c:pt>
                <c:pt idx="135">
                  <c:v>1232.8</c:v>
                </c:pt>
                <c:pt idx="136">
                  <c:v>1219.9000000000001</c:v>
                </c:pt>
                <c:pt idx="137">
                  <c:v>1194.5999999999999</c:v>
                </c:pt>
                <c:pt idx="138">
                  <c:v>1159</c:v>
                </c:pt>
                <c:pt idx="139">
                  <c:v>1171</c:v>
                </c:pt>
                <c:pt idx="140">
                  <c:v>1181.5</c:v>
                </c:pt>
                <c:pt idx="141">
                  <c:v>1194.4000000000001</c:v>
                </c:pt>
                <c:pt idx="142">
                  <c:v>1192.2</c:v>
                </c:pt>
                <c:pt idx="143">
                  <c:v>1201.7</c:v>
                </c:pt>
                <c:pt idx="144">
                  <c:v>1194.7</c:v>
                </c:pt>
                <c:pt idx="145">
                  <c:v>1195.5999999999999</c:v>
                </c:pt>
                <c:pt idx="146">
                  <c:v>1215.2</c:v>
                </c:pt>
                <c:pt idx="147">
                  <c:v>1210.0999999999999</c:v>
                </c:pt>
                <c:pt idx="148">
                  <c:v>1188.5</c:v>
                </c:pt>
                <c:pt idx="149">
                  <c:v>1197.8</c:v>
                </c:pt>
                <c:pt idx="150">
                  <c:v>1195.8</c:v>
                </c:pt>
                <c:pt idx="151">
                  <c:v>1202.8</c:v>
                </c:pt>
                <c:pt idx="152">
                  <c:v>1208.8</c:v>
                </c:pt>
                <c:pt idx="153">
                  <c:v>1209.0999999999999</c:v>
                </c:pt>
                <c:pt idx="154">
                  <c:v>1195.5</c:v>
                </c:pt>
                <c:pt idx="155">
                  <c:v>1193.5999999999999</c:v>
                </c:pt>
                <c:pt idx="156">
                  <c:v>1203</c:v>
                </c:pt>
                <c:pt idx="157">
                  <c:v>1151.0999999999999</c:v>
                </c:pt>
                <c:pt idx="158">
                  <c:v>1172.2</c:v>
                </c:pt>
                <c:pt idx="159">
                  <c:v>1161.3</c:v>
                </c:pt>
                <c:pt idx="160">
                  <c:v>1161.4000000000001</c:v>
                </c:pt>
                <c:pt idx="161">
                  <c:v>1173.2</c:v>
                </c:pt>
                <c:pt idx="162">
                  <c:v>1182.2</c:v>
                </c:pt>
                <c:pt idx="163">
                  <c:v>1185</c:v>
                </c:pt>
                <c:pt idx="164">
                  <c:v>1187.3</c:v>
                </c:pt>
                <c:pt idx="165">
                  <c:v>1192.8</c:v>
                </c:pt>
                <c:pt idx="166">
                  <c:v>1166.3</c:v>
                </c:pt>
                <c:pt idx="167">
                  <c:v>1207.0999999999999</c:v>
                </c:pt>
                <c:pt idx="168">
                  <c:v>1206.9000000000001</c:v>
                </c:pt>
                <c:pt idx="169">
                  <c:v>1216.8</c:v>
                </c:pt>
                <c:pt idx="170">
                  <c:v>1223</c:v>
                </c:pt>
                <c:pt idx="171">
                  <c:v>1190.8</c:v>
                </c:pt>
                <c:pt idx="172">
                  <c:v>1161.3</c:v>
                </c:pt>
                <c:pt idx="173">
                  <c:v>1112.8</c:v>
                </c:pt>
                <c:pt idx="174">
                  <c:v>1068.95</c:v>
                </c:pt>
                <c:pt idx="175">
                  <c:v>1061.6500000000001</c:v>
                </c:pt>
                <c:pt idx="176">
                  <c:v>1077.8499999999999</c:v>
                </c:pt>
                <c:pt idx="177">
                  <c:v>1047.95</c:v>
                </c:pt>
                <c:pt idx="178">
                  <c:v>1091.3</c:v>
                </c:pt>
                <c:pt idx="179">
                  <c:v>1089.8499999999999</c:v>
                </c:pt>
                <c:pt idx="180">
                  <c:v>1084.45</c:v>
                </c:pt>
                <c:pt idx="181">
                  <c:v>1085.5999999999999</c:v>
                </c:pt>
                <c:pt idx="182">
                  <c:v>1102</c:v>
                </c:pt>
                <c:pt idx="183">
                  <c:v>1098.3499999999999</c:v>
                </c:pt>
                <c:pt idx="184">
                  <c:v>1096.25</c:v>
                </c:pt>
                <c:pt idx="185">
                  <c:v>1118.55</c:v>
                </c:pt>
                <c:pt idx="186">
                  <c:v>1097.8499999999999</c:v>
                </c:pt>
                <c:pt idx="187">
                  <c:v>1070.1500000000001</c:v>
                </c:pt>
                <c:pt idx="188">
                  <c:v>1054.3499999999999</c:v>
                </c:pt>
                <c:pt idx="189">
                  <c:v>1052.05</c:v>
                </c:pt>
                <c:pt idx="190">
                  <c:v>1045.25</c:v>
                </c:pt>
                <c:pt idx="191">
                  <c:v>1034.1500000000001</c:v>
                </c:pt>
                <c:pt idx="192">
                  <c:v>1010.2</c:v>
                </c:pt>
                <c:pt idx="193">
                  <c:v>1011.2</c:v>
                </c:pt>
                <c:pt idx="194">
                  <c:v>1025.6500000000001</c:v>
                </c:pt>
                <c:pt idx="195">
                  <c:v>1035.8499999999999</c:v>
                </c:pt>
                <c:pt idx="196">
                  <c:v>1037.6500000000001</c:v>
                </c:pt>
                <c:pt idx="197">
                  <c:v>1034.0999999999999</c:v>
                </c:pt>
                <c:pt idx="198">
                  <c:v>1014.45</c:v>
                </c:pt>
                <c:pt idx="199">
                  <c:v>1001.8</c:v>
                </c:pt>
                <c:pt idx="200">
                  <c:v>1007.25</c:v>
                </c:pt>
                <c:pt idx="201">
                  <c:v>1015.55</c:v>
                </c:pt>
                <c:pt idx="202">
                  <c:v>1016.7</c:v>
                </c:pt>
                <c:pt idx="203">
                  <c:v>1009.1</c:v>
                </c:pt>
                <c:pt idx="204">
                  <c:v>1010.05</c:v>
                </c:pt>
                <c:pt idx="205">
                  <c:v>1008.95</c:v>
                </c:pt>
                <c:pt idx="206">
                  <c:v>1017.2</c:v>
                </c:pt>
                <c:pt idx="207">
                  <c:v>1011.35</c:v>
                </c:pt>
                <c:pt idx="208">
                  <c:v>994.15</c:v>
                </c:pt>
                <c:pt idx="209">
                  <c:v>992.95</c:v>
                </c:pt>
                <c:pt idx="210">
                  <c:v>997.5</c:v>
                </c:pt>
                <c:pt idx="211">
                  <c:v>1008.2</c:v>
                </c:pt>
                <c:pt idx="212">
                  <c:v>1006.9</c:v>
                </c:pt>
                <c:pt idx="213">
                  <c:v>1007.4</c:v>
                </c:pt>
                <c:pt idx="214">
                  <c:v>1011.75</c:v>
                </c:pt>
                <c:pt idx="215">
                  <c:v>1024.0999999999999</c:v>
                </c:pt>
                <c:pt idx="216">
                  <c:v>1020.7</c:v>
                </c:pt>
                <c:pt idx="217">
                  <c:v>1013.3</c:v>
                </c:pt>
                <c:pt idx="218">
                  <c:v>1015.3</c:v>
                </c:pt>
                <c:pt idx="219">
                  <c:v>989.4</c:v>
                </c:pt>
                <c:pt idx="220">
                  <c:v>998.15</c:v>
                </c:pt>
                <c:pt idx="221">
                  <c:v>986.1</c:v>
                </c:pt>
                <c:pt idx="222">
                  <c:v>984.7</c:v>
                </c:pt>
                <c:pt idx="223">
                  <c:v>983.4</c:v>
                </c:pt>
                <c:pt idx="224">
                  <c:v>983.8</c:v>
                </c:pt>
                <c:pt idx="225">
                  <c:v>948.1</c:v>
                </c:pt>
                <c:pt idx="226">
                  <c:v>948.5</c:v>
                </c:pt>
                <c:pt idx="227">
                  <c:v>951.05</c:v>
                </c:pt>
                <c:pt idx="228">
                  <c:v>959.3</c:v>
                </c:pt>
                <c:pt idx="229">
                  <c:v>970.2</c:v>
                </c:pt>
                <c:pt idx="230">
                  <c:v>988.05</c:v>
                </c:pt>
                <c:pt idx="231">
                  <c:v>991.05</c:v>
                </c:pt>
                <c:pt idx="232">
                  <c:v>1038</c:v>
                </c:pt>
                <c:pt idx="233">
                  <c:v>1026.8</c:v>
                </c:pt>
                <c:pt idx="234">
                  <c:v>1051.6500000000001</c:v>
                </c:pt>
                <c:pt idx="235">
                  <c:v>1049.3</c:v>
                </c:pt>
                <c:pt idx="236">
                  <c:v>1040.7</c:v>
                </c:pt>
                <c:pt idx="237">
                  <c:v>1061.75</c:v>
                </c:pt>
                <c:pt idx="238">
                  <c:v>1074.95</c:v>
                </c:pt>
                <c:pt idx="239">
                  <c:v>1067.5</c:v>
                </c:pt>
                <c:pt idx="240">
                  <c:v>1063.4000000000001</c:v>
                </c:pt>
                <c:pt idx="241">
                  <c:v>1084.9000000000001</c:v>
                </c:pt>
                <c:pt idx="242">
                  <c:v>1086.5999999999999</c:v>
                </c:pt>
                <c:pt idx="243">
                  <c:v>1071.8</c:v>
                </c:pt>
                <c:pt idx="244">
                  <c:v>1064.7</c:v>
                </c:pt>
                <c:pt idx="245">
                  <c:v>1069.95</c:v>
                </c:pt>
                <c:pt idx="246">
                  <c:v>1077.45</c:v>
                </c:pt>
                <c:pt idx="247">
                  <c:v>1076.7</c:v>
                </c:pt>
                <c:pt idx="248">
                  <c:v>1078.9000000000001</c:v>
                </c:pt>
                <c:pt idx="249">
                  <c:v>1079.1500000000001</c:v>
                </c:pt>
                <c:pt idx="250">
                  <c:v>1071.8499999999999</c:v>
                </c:pt>
                <c:pt idx="251">
                  <c:v>1108.9000000000001</c:v>
                </c:pt>
                <c:pt idx="252">
                  <c:v>1122.25</c:v>
                </c:pt>
                <c:pt idx="253">
                  <c:v>1136.25</c:v>
                </c:pt>
                <c:pt idx="254">
                  <c:v>1150.9000000000001</c:v>
                </c:pt>
                <c:pt idx="255">
                  <c:v>1148.1500000000001</c:v>
                </c:pt>
                <c:pt idx="256">
                  <c:v>1145.6500000000001</c:v>
                </c:pt>
                <c:pt idx="257">
                  <c:v>1147.25</c:v>
                </c:pt>
                <c:pt idx="258">
                  <c:v>1153.6500000000001</c:v>
                </c:pt>
                <c:pt idx="259">
                  <c:v>1163.25</c:v>
                </c:pt>
                <c:pt idx="260">
                  <c:v>1184.55</c:v>
                </c:pt>
                <c:pt idx="261">
                  <c:v>1166.4000000000001</c:v>
                </c:pt>
                <c:pt idx="262">
                  <c:v>1159.45</c:v>
                </c:pt>
                <c:pt idx="263">
                  <c:v>1160.5</c:v>
                </c:pt>
                <c:pt idx="264">
                  <c:v>1137.0999999999999</c:v>
                </c:pt>
                <c:pt idx="265">
                  <c:v>1136.3</c:v>
                </c:pt>
                <c:pt idx="266">
                  <c:v>1132.5</c:v>
                </c:pt>
                <c:pt idx="267">
                  <c:v>1149.6500000000001</c:v>
                </c:pt>
                <c:pt idx="268">
                  <c:v>1144.8</c:v>
                </c:pt>
                <c:pt idx="269">
                  <c:v>1155.9000000000001</c:v>
                </c:pt>
                <c:pt idx="270">
                  <c:v>1142.4000000000001</c:v>
                </c:pt>
                <c:pt idx="271">
                  <c:v>1139.1500000000001</c:v>
                </c:pt>
                <c:pt idx="272">
                  <c:v>1133.95</c:v>
                </c:pt>
                <c:pt idx="273">
                  <c:v>1126.2</c:v>
                </c:pt>
                <c:pt idx="274">
                  <c:v>1140.7</c:v>
                </c:pt>
                <c:pt idx="275">
                  <c:v>1139.1500000000001</c:v>
                </c:pt>
                <c:pt idx="276">
                  <c:v>1158.1500000000001</c:v>
                </c:pt>
                <c:pt idx="277">
                  <c:v>1171</c:v>
                </c:pt>
                <c:pt idx="278">
                  <c:v>1160.95</c:v>
                </c:pt>
                <c:pt idx="279">
                  <c:v>1159.9000000000001</c:v>
                </c:pt>
                <c:pt idx="280">
                  <c:v>1166.5</c:v>
                </c:pt>
                <c:pt idx="281">
                  <c:v>1171.7</c:v>
                </c:pt>
                <c:pt idx="282">
                  <c:v>1139.25</c:v>
                </c:pt>
                <c:pt idx="283">
                  <c:v>1169.55</c:v>
                </c:pt>
                <c:pt idx="284">
                  <c:v>1159.55</c:v>
                </c:pt>
                <c:pt idx="285">
                  <c:v>1170.4000000000001</c:v>
                </c:pt>
                <c:pt idx="286">
                  <c:v>1186.8499999999999</c:v>
                </c:pt>
                <c:pt idx="287">
                  <c:v>1171.5999999999999</c:v>
                </c:pt>
                <c:pt idx="288">
                  <c:v>1189.3499999999999</c:v>
                </c:pt>
                <c:pt idx="289">
                  <c:v>1167.3499999999999</c:v>
                </c:pt>
                <c:pt idx="290">
                  <c:v>1160.4000000000001</c:v>
                </c:pt>
                <c:pt idx="291">
                  <c:v>1175.75</c:v>
                </c:pt>
                <c:pt idx="292">
                  <c:v>1190.3</c:v>
                </c:pt>
                <c:pt idx="293">
                  <c:v>1196.8499999999999</c:v>
                </c:pt>
                <c:pt idx="294">
                  <c:v>1131.8499999999999</c:v>
                </c:pt>
                <c:pt idx="295">
                  <c:v>1153.2</c:v>
                </c:pt>
                <c:pt idx="296">
                  <c:v>1153.8499999999999</c:v>
                </c:pt>
                <c:pt idx="297">
                  <c:v>1164.3499999999999</c:v>
                </c:pt>
                <c:pt idx="298">
                  <c:v>1172.45</c:v>
                </c:pt>
                <c:pt idx="299">
                  <c:v>1184.25</c:v>
                </c:pt>
                <c:pt idx="300">
                  <c:v>1170.1500000000001</c:v>
                </c:pt>
                <c:pt idx="301">
                  <c:v>1153.3</c:v>
                </c:pt>
                <c:pt idx="302">
                  <c:v>1145.7</c:v>
                </c:pt>
                <c:pt idx="303">
                  <c:v>1178.4000000000001</c:v>
                </c:pt>
                <c:pt idx="304">
                  <c:v>1175.7</c:v>
                </c:pt>
                <c:pt idx="305">
                  <c:v>1226.6500000000001</c:v>
                </c:pt>
                <c:pt idx="306">
                  <c:v>1232.2</c:v>
                </c:pt>
                <c:pt idx="307">
                  <c:v>1273.1500000000001</c:v>
                </c:pt>
                <c:pt idx="308">
                  <c:v>1277.0999999999999</c:v>
                </c:pt>
                <c:pt idx="309">
                  <c:v>1268.0999999999999</c:v>
                </c:pt>
                <c:pt idx="310">
                  <c:v>1239.55</c:v>
                </c:pt>
                <c:pt idx="311">
                  <c:v>1246.8</c:v>
                </c:pt>
                <c:pt idx="312">
                  <c:v>1245</c:v>
                </c:pt>
                <c:pt idx="313">
                  <c:v>1242.7</c:v>
                </c:pt>
                <c:pt idx="314">
                  <c:v>1240.45</c:v>
                </c:pt>
                <c:pt idx="315">
                  <c:v>1232.0999999999999</c:v>
                </c:pt>
                <c:pt idx="316">
                  <c:v>1231.05</c:v>
                </c:pt>
                <c:pt idx="317">
                  <c:v>1217.45</c:v>
                </c:pt>
                <c:pt idx="318">
                  <c:v>1203.3499999999999</c:v>
                </c:pt>
                <c:pt idx="319">
                  <c:v>1186.0999999999999</c:v>
                </c:pt>
                <c:pt idx="320">
                  <c:v>1187.2</c:v>
                </c:pt>
                <c:pt idx="321">
                  <c:v>1170.8499999999999</c:v>
                </c:pt>
                <c:pt idx="322">
                  <c:v>1158.75</c:v>
                </c:pt>
                <c:pt idx="323">
                  <c:v>1180.55</c:v>
                </c:pt>
                <c:pt idx="324">
                  <c:v>1177.7</c:v>
                </c:pt>
                <c:pt idx="325">
                  <c:v>1191.5999999999999</c:v>
                </c:pt>
                <c:pt idx="326">
                  <c:v>1188.8</c:v>
                </c:pt>
                <c:pt idx="327">
                  <c:v>1175.25</c:v>
                </c:pt>
                <c:pt idx="328">
                  <c:v>1175.4000000000001</c:v>
                </c:pt>
                <c:pt idx="329">
                  <c:v>1170.95</c:v>
                </c:pt>
                <c:pt idx="330">
                  <c:v>1181.25</c:v>
                </c:pt>
                <c:pt idx="331">
                  <c:v>1170.3</c:v>
                </c:pt>
                <c:pt idx="332">
                  <c:v>1165.95</c:v>
                </c:pt>
                <c:pt idx="333">
                  <c:v>1169.95</c:v>
                </c:pt>
                <c:pt idx="334">
                  <c:v>1174.4000000000001</c:v>
                </c:pt>
                <c:pt idx="335">
                  <c:v>1168</c:v>
                </c:pt>
                <c:pt idx="336">
                  <c:v>1153.25</c:v>
                </c:pt>
                <c:pt idx="337">
                  <c:v>1166.8499999999999</c:v>
                </c:pt>
                <c:pt idx="338">
                  <c:v>1153.0999999999999</c:v>
                </c:pt>
                <c:pt idx="339">
                  <c:v>1159.5999999999999</c:v>
                </c:pt>
                <c:pt idx="340">
                  <c:v>1164.3</c:v>
                </c:pt>
                <c:pt idx="341">
                  <c:v>1142.75</c:v>
                </c:pt>
                <c:pt idx="342">
                  <c:v>1138.1500000000001</c:v>
                </c:pt>
                <c:pt idx="343">
                  <c:v>1136.8</c:v>
                </c:pt>
                <c:pt idx="344">
                  <c:v>1126.0999999999999</c:v>
                </c:pt>
                <c:pt idx="345">
                  <c:v>1133.5</c:v>
                </c:pt>
                <c:pt idx="346">
                  <c:v>1160.8499999999999</c:v>
                </c:pt>
                <c:pt idx="347">
                  <c:v>1172.3</c:v>
                </c:pt>
                <c:pt idx="348">
                  <c:v>1166.0999999999999</c:v>
                </c:pt>
                <c:pt idx="349">
                  <c:v>1170</c:v>
                </c:pt>
                <c:pt idx="350">
                  <c:v>1170.05</c:v>
                </c:pt>
                <c:pt idx="351">
                  <c:v>1177.3499999999999</c:v>
                </c:pt>
                <c:pt idx="352">
                  <c:v>1175.9000000000001</c:v>
                </c:pt>
                <c:pt idx="353">
                  <c:v>1239.25</c:v>
                </c:pt>
                <c:pt idx="354">
                  <c:v>1263.25</c:v>
                </c:pt>
                <c:pt idx="355">
                  <c:v>1282.5</c:v>
                </c:pt>
                <c:pt idx="356">
                  <c:v>1292.3499999999999</c:v>
                </c:pt>
                <c:pt idx="357">
                  <c:v>1309.4000000000001</c:v>
                </c:pt>
                <c:pt idx="358">
                  <c:v>1304</c:v>
                </c:pt>
                <c:pt idx="359">
                  <c:v>1307.45</c:v>
                </c:pt>
                <c:pt idx="360">
                  <c:v>1317.3</c:v>
                </c:pt>
                <c:pt idx="361">
                  <c:v>1296.75</c:v>
                </c:pt>
                <c:pt idx="362">
                  <c:v>1291.6500000000001</c:v>
                </c:pt>
                <c:pt idx="363">
                  <c:v>1289.4000000000001</c:v>
                </c:pt>
                <c:pt idx="364">
                  <c:v>1287.8499999999999</c:v>
                </c:pt>
                <c:pt idx="365">
                  <c:v>1287.05</c:v>
                </c:pt>
                <c:pt idx="366">
                  <c:v>1280.9000000000001</c:v>
                </c:pt>
                <c:pt idx="367">
                  <c:v>1280</c:v>
                </c:pt>
                <c:pt idx="368">
                  <c:v>1253.4000000000001</c:v>
                </c:pt>
                <c:pt idx="369">
                  <c:v>1261.9000000000001</c:v>
                </c:pt>
                <c:pt idx="370">
                  <c:v>1265.25</c:v>
                </c:pt>
                <c:pt idx="371">
                  <c:v>1288.95</c:v>
                </c:pt>
                <c:pt idx="372">
                  <c:v>1285.4000000000001</c:v>
                </c:pt>
                <c:pt idx="373">
                  <c:v>1271.45</c:v>
                </c:pt>
                <c:pt idx="374">
                  <c:v>1228.0999999999999</c:v>
                </c:pt>
                <c:pt idx="375">
                  <c:v>1237.45</c:v>
                </c:pt>
                <c:pt idx="376">
                  <c:v>1239.5</c:v>
                </c:pt>
                <c:pt idx="377">
                  <c:v>1226.6500000000001</c:v>
                </c:pt>
                <c:pt idx="378">
                  <c:v>1191.9000000000001</c:v>
                </c:pt>
                <c:pt idx="379">
                  <c:v>1181.05</c:v>
                </c:pt>
                <c:pt idx="380">
                  <c:v>1174.6500000000001</c:v>
                </c:pt>
                <c:pt idx="381">
                  <c:v>1187.9000000000001</c:v>
                </c:pt>
                <c:pt idx="382">
                  <c:v>1194.5999999999999</c:v>
                </c:pt>
                <c:pt idx="383">
                  <c:v>1200</c:v>
                </c:pt>
                <c:pt idx="384">
                  <c:v>1186.8</c:v>
                </c:pt>
                <c:pt idx="385">
                  <c:v>1170.95</c:v>
                </c:pt>
                <c:pt idx="386">
                  <c:v>1184.5</c:v>
                </c:pt>
                <c:pt idx="387">
                  <c:v>1131.25</c:v>
                </c:pt>
                <c:pt idx="388">
                  <c:v>1223.9000000000001</c:v>
                </c:pt>
                <c:pt idx="389">
                  <c:v>1162.1500000000001</c:v>
                </c:pt>
                <c:pt idx="390">
                  <c:v>1167.95</c:v>
                </c:pt>
                <c:pt idx="391">
                  <c:v>1159.75</c:v>
                </c:pt>
                <c:pt idx="392">
                  <c:v>1183.4000000000001</c:v>
                </c:pt>
                <c:pt idx="393">
                  <c:v>1187</c:v>
                </c:pt>
                <c:pt idx="394">
                  <c:v>1174</c:v>
                </c:pt>
                <c:pt idx="395">
                  <c:v>1165.25</c:v>
                </c:pt>
                <c:pt idx="396">
                  <c:v>1126</c:v>
                </c:pt>
                <c:pt idx="397">
                  <c:v>1137.6500000000001</c:v>
                </c:pt>
                <c:pt idx="398">
                  <c:v>1143.75</c:v>
                </c:pt>
                <c:pt idx="399">
                  <c:v>1141.3499999999999</c:v>
                </c:pt>
                <c:pt idx="400">
                  <c:v>1139.3</c:v>
                </c:pt>
                <c:pt idx="401">
                  <c:v>1128.05</c:v>
                </c:pt>
                <c:pt idx="402">
                  <c:v>1122.8499999999999</c:v>
                </c:pt>
                <c:pt idx="403">
                  <c:v>1132</c:v>
                </c:pt>
                <c:pt idx="404">
                  <c:v>1120.0999999999999</c:v>
                </c:pt>
                <c:pt idx="405">
                  <c:v>1115.6500000000001</c:v>
                </c:pt>
                <c:pt idx="406">
                  <c:v>1128.6500000000001</c:v>
                </c:pt>
                <c:pt idx="407">
                  <c:v>1127.7</c:v>
                </c:pt>
                <c:pt idx="408">
                  <c:v>1143.6500000000001</c:v>
                </c:pt>
                <c:pt idx="409">
                  <c:v>1141.5</c:v>
                </c:pt>
                <c:pt idx="410">
                  <c:v>1149.8499999999999</c:v>
                </c:pt>
                <c:pt idx="411">
                  <c:v>1165.9000000000001</c:v>
                </c:pt>
                <c:pt idx="412">
                  <c:v>1159.25</c:v>
                </c:pt>
                <c:pt idx="413">
                  <c:v>1130.3</c:v>
                </c:pt>
                <c:pt idx="414">
                  <c:v>1127</c:v>
                </c:pt>
                <c:pt idx="415">
                  <c:v>1063.25</c:v>
                </c:pt>
                <c:pt idx="416">
                  <c:v>1055.75</c:v>
                </c:pt>
                <c:pt idx="417">
                  <c:v>1053.95</c:v>
                </c:pt>
                <c:pt idx="418">
                  <c:v>1029.0999999999999</c:v>
                </c:pt>
                <c:pt idx="419">
                  <c:v>1024</c:v>
                </c:pt>
                <c:pt idx="420">
                  <c:v>1051.9000000000001</c:v>
                </c:pt>
                <c:pt idx="421">
                  <c:v>1057.95</c:v>
                </c:pt>
                <c:pt idx="422">
                  <c:v>1073.45</c:v>
                </c:pt>
                <c:pt idx="423">
                  <c:v>1087.8</c:v>
                </c:pt>
                <c:pt idx="424">
                  <c:v>1080</c:v>
                </c:pt>
                <c:pt idx="425">
                  <c:v>1076.05</c:v>
                </c:pt>
                <c:pt idx="426">
                  <c:v>1059.0999999999999</c:v>
                </c:pt>
                <c:pt idx="427">
                  <c:v>1062.95</c:v>
                </c:pt>
                <c:pt idx="428">
                  <c:v>1063.25</c:v>
                </c:pt>
                <c:pt idx="429">
                  <c:v>1047.2</c:v>
                </c:pt>
                <c:pt idx="430">
                  <c:v>1053.0999999999999</c:v>
                </c:pt>
                <c:pt idx="431">
                  <c:v>1047.2</c:v>
                </c:pt>
                <c:pt idx="432">
                  <c:v>1052.8499999999999</c:v>
                </c:pt>
                <c:pt idx="433">
                  <c:v>1040.55</c:v>
                </c:pt>
                <c:pt idx="434">
                  <c:v>1033.3</c:v>
                </c:pt>
                <c:pt idx="435">
                  <c:v>1035.5999999999999</c:v>
                </c:pt>
                <c:pt idx="436">
                  <c:v>1034.75</c:v>
                </c:pt>
                <c:pt idx="437">
                  <c:v>1050.8</c:v>
                </c:pt>
                <c:pt idx="438">
                  <c:v>1061.3499999999999</c:v>
                </c:pt>
                <c:pt idx="439">
                  <c:v>1046.4000000000001</c:v>
                </c:pt>
                <c:pt idx="440">
                  <c:v>1058.25</c:v>
                </c:pt>
                <c:pt idx="441">
                  <c:v>1080.4000000000001</c:v>
                </c:pt>
                <c:pt idx="442">
                  <c:v>1097</c:v>
                </c:pt>
                <c:pt idx="443">
                  <c:v>1105.0999999999999</c:v>
                </c:pt>
                <c:pt idx="444">
                  <c:v>1111.45</c:v>
                </c:pt>
                <c:pt idx="445">
                  <c:v>1125</c:v>
                </c:pt>
                <c:pt idx="446">
                  <c:v>1100.8</c:v>
                </c:pt>
                <c:pt idx="447">
                  <c:v>1106.75</c:v>
                </c:pt>
                <c:pt idx="448">
                  <c:v>1096.7</c:v>
                </c:pt>
                <c:pt idx="449">
                  <c:v>1099.25</c:v>
                </c:pt>
                <c:pt idx="450">
                  <c:v>1075.0999999999999</c:v>
                </c:pt>
                <c:pt idx="451">
                  <c:v>1074.2</c:v>
                </c:pt>
                <c:pt idx="452">
                  <c:v>1079.05</c:v>
                </c:pt>
                <c:pt idx="453">
                  <c:v>1085.2</c:v>
                </c:pt>
                <c:pt idx="454">
                  <c:v>1096.8</c:v>
                </c:pt>
                <c:pt idx="455">
                  <c:v>1100.9000000000001</c:v>
                </c:pt>
                <c:pt idx="456">
                  <c:v>1084.2</c:v>
                </c:pt>
                <c:pt idx="457">
                  <c:v>1088.5999999999999</c:v>
                </c:pt>
                <c:pt idx="458">
                  <c:v>1062.95</c:v>
                </c:pt>
                <c:pt idx="459">
                  <c:v>1068.75</c:v>
                </c:pt>
                <c:pt idx="460">
                  <c:v>1072.2</c:v>
                </c:pt>
                <c:pt idx="461">
                  <c:v>1096.8499999999999</c:v>
                </c:pt>
                <c:pt idx="462">
                  <c:v>1070.75</c:v>
                </c:pt>
                <c:pt idx="463">
                  <c:v>1046.7</c:v>
                </c:pt>
                <c:pt idx="464">
                  <c:v>1051.4000000000001</c:v>
                </c:pt>
                <c:pt idx="465">
                  <c:v>1035.9000000000001</c:v>
                </c:pt>
                <c:pt idx="466">
                  <c:v>1069.0999999999999</c:v>
                </c:pt>
                <c:pt idx="467">
                  <c:v>1050.05</c:v>
                </c:pt>
                <c:pt idx="468">
                  <c:v>1061.5</c:v>
                </c:pt>
                <c:pt idx="469">
                  <c:v>1067.05</c:v>
                </c:pt>
                <c:pt idx="470">
                  <c:v>1084.25</c:v>
                </c:pt>
                <c:pt idx="471">
                  <c:v>1067.75</c:v>
                </c:pt>
                <c:pt idx="472">
                  <c:v>1054.0999999999999</c:v>
                </c:pt>
                <c:pt idx="473">
                  <c:v>1061.25</c:v>
                </c:pt>
                <c:pt idx="474">
                  <c:v>1042.25</c:v>
                </c:pt>
                <c:pt idx="475">
                  <c:v>1059.1500000000001</c:v>
                </c:pt>
                <c:pt idx="476">
                  <c:v>1089.25</c:v>
                </c:pt>
                <c:pt idx="477">
                  <c:v>1121</c:v>
                </c:pt>
                <c:pt idx="478">
                  <c:v>1116.55</c:v>
                </c:pt>
                <c:pt idx="479">
                  <c:v>1097.5</c:v>
                </c:pt>
                <c:pt idx="480">
                  <c:v>1082.3</c:v>
                </c:pt>
                <c:pt idx="481">
                  <c:v>1119.0999999999999</c:v>
                </c:pt>
                <c:pt idx="482">
                  <c:v>1119.5</c:v>
                </c:pt>
                <c:pt idx="483">
                  <c:v>1120.3499999999999</c:v>
                </c:pt>
                <c:pt idx="484">
                  <c:v>1125.75</c:v>
                </c:pt>
                <c:pt idx="485">
                  <c:v>1107</c:v>
                </c:pt>
                <c:pt idx="486">
                  <c:v>1116.55</c:v>
                </c:pt>
                <c:pt idx="487">
                  <c:v>1122</c:v>
                </c:pt>
                <c:pt idx="488">
                  <c:v>1136.95</c:v>
                </c:pt>
                <c:pt idx="489">
                  <c:v>1123.4000000000001</c:v>
                </c:pt>
                <c:pt idx="490">
                  <c:v>1098.5999999999999</c:v>
                </c:pt>
                <c:pt idx="491">
                  <c:v>1093.25</c:v>
                </c:pt>
                <c:pt idx="492">
                  <c:v>1097.7</c:v>
                </c:pt>
                <c:pt idx="493">
                  <c:v>1102.3</c:v>
                </c:pt>
                <c:pt idx="494">
                  <c:v>1107.8499999999999</c:v>
                </c:pt>
                <c:pt idx="495">
                  <c:v>1106.3499999999999</c:v>
                </c:pt>
                <c:pt idx="496">
                  <c:v>1094.25</c:v>
                </c:pt>
                <c:pt idx="497">
                  <c:v>1088.3</c:v>
                </c:pt>
                <c:pt idx="498">
                  <c:v>1095.4000000000001</c:v>
                </c:pt>
                <c:pt idx="499">
                  <c:v>1110.25</c:v>
                </c:pt>
                <c:pt idx="500">
                  <c:v>1120.25</c:v>
                </c:pt>
                <c:pt idx="501">
                  <c:v>1111.3499999999999</c:v>
                </c:pt>
                <c:pt idx="502">
                  <c:v>1120.3499999999999</c:v>
                </c:pt>
                <c:pt idx="503">
                  <c:v>1120.45</c:v>
                </c:pt>
                <c:pt idx="504">
                  <c:v>1114.8499999999999</c:v>
                </c:pt>
                <c:pt idx="505">
                  <c:v>1131</c:v>
                </c:pt>
                <c:pt idx="506">
                  <c:v>1116.5</c:v>
                </c:pt>
                <c:pt idx="507">
                  <c:v>1131.2</c:v>
                </c:pt>
                <c:pt idx="508">
                  <c:v>1117.8499999999999</c:v>
                </c:pt>
                <c:pt idx="509">
                  <c:v>1120.5</c:v>
                </c:pt>
                <c:pt idx="510">
                  <c:v>1132.45</c:v>
                </c:pt>
                <c:pt idx="511">
                  <c:v>1125.5999999999999</c:v>
                </c:pt>
                <c:pt idx="512">
                  <c:v>1104.6500000000001</c:v>
                </c:pt>
                <c:pt idx="513">
                  <c:v>1074.25</c:v>
                </c:pt>
                <c:pt idx="514">
                  <c:v>1060.1500000000001</c:v>
                </c:pt>
                <c:pt idx="515">
                  <c:v>1021.15</c:v>
                </c:pt>
                <c:pt idx="516">
                  <c:v>1008.5</c:v>
                </c:pt>
                <c:pt idx="517">
                  <c:v>999.05</c:v>
                </c:pt>
                <c:pt idx="518">
                  <c:v>998.1</c:v>
                </c:pt>
                <c:pt idx="519">
                  <c:v>991.8</c:v>
                </c:pt>
                <c:pt idx="520">
                  <c:v>988.7</c:v>
                </c:pt>
                <c:pt idx="521">
                  <c:v>994.35</c:v>
                </c:pt>
                <c:pt idx="522">
                  <c:v>1026.3499999999999</c:v>
                </c:pt>
                <c:pt idx="523">
                  <c:v>1041.3499999999999</c:v>
                </c:pt>
                <c:pt idx="524">
                  <c:v>1025.3499999999999</c:v>
                </c:pt>
                <c:pt idx="525">
                  <c:v>1029.95</c:v>
                </c:pt>
                <c:pt idx="526">
                  <c:v>1029.2</c:v>
                </c:pt>
                <c:pt idx="527">
                  <c:v>1021.9</c:v>
                </c:pt>
                <c:pt idx="528">
                  <c:v>1021.7</c:v>
                </c:pt>
                <c:pt idx="529">
                  <c:v>1020.9</c:v>
                </c:pt>
                <c:pt idx="530">
                  <c:v>1009.4</c:v>
                </c:pt>
                <c:pt idx="531">
                  <c:v>988.85</c:v>
                </c:pt>
                <c:pt idx="532">
                  <c:v>982.95</c:v>
                </c:pt>
                <c:pt idx="533">
                  <c:v>971.8</c:v>
                </c:pt>
                <c:pt idx="534">
                  <c:v>981.85</c:v>
                </c:pt>
                <c:pt idx="535">
                  <c:v>989.2</c:v>
                </c:pt>
                <c:pt idx="536">
                  <c:v>1002.75</c:v>
                </c:pt>
                <c:pt idx="537">
                  <c:v>972.05</c:v>
                </c:pt>
                <c:pt idx="538">
                  <c:v>955.45</c:v>
                </c:pt>
                <c:pt idx="539">
                  <c:v>964.3</c:v>
                </c:pt>
                <c:pt idx="540">
                  <c:v>980.35</c:v>
                </c:pt>
                <c:pt idx="541">
                  <c:v>991.4</c:v>
                </c:pt>
                <c:pt idx="542">
                  <c:v>992.85</c:v>
                </c:pt>
                <c:pt idx="543">
                  <c:v>1008.05</c:v>
                </c:pt>
                <c:pt idx="544">
                  <c:v>1004.8</c:v>
                </c:pt>
                <c:pt idx="545">
                  <c:v>994.05</c:v>
                </c:pt>
                <c:pt idx="546">
                  <c:v>1018.45</c:v>
                </c:pt>
                <c:pt idx="547">
                  <c:v>1019.1</c:v>
                </c:pt>
                <c:pt idx="548">
                  <c:v>1012.25</c:v>
                </c:pt>
                <c:pt idx="549">
                  <c:v>996.25</c:v>
                </c:pt>
                <c:pt idx="550">
                  <c:v>1000.95</c:v>
                </c:pt>
                <c:pt idx="551">
                  <c:v>1003.25</c:v>
                </c:pt>
                <c:pt idx="552">
                  <c:v>995.55</c:v>
                </c:pt>
                <c:pt idx="553">
                  <c:v>1041.05</c:v>
                </c:pt>
                <c:pt idx="554">
                  <c:v>1036.7</c:v>
                </c:pt>
                <c:pt idx="555">
                  <c:v>1030.9000000000001</c:v>
                </c:pt>
                <c:pt idx="556">
                  <c:v>1025.2</c:v>
                </c:pt>
                <c:pt idx="557">
                  <c:v>1014.15</c:v>
                </c:pt>
                <c:pt idx="558">
                  <c:v>1018.95</c:v>
                </c:pt>
                <c:pt idx="559">
                  <c:v>1018.25</c:v>
                </c:pt>
                <c:pt idx="560">
                  <c:v>1014.45</c:v>
                </c:pt>
                <c:pt idx="561">
                  <c:v>1027.3</c:v>
                </c:pt>
                <c:pt idx="562">
                  <c:v>1024.75</c:v>
                </c:pt>
                <c:pt idx="563">
                  <c:v>1027.1500000000001</c:v>
                </c:pt>
                <c:pt idx="564">
                  <c:v>1020.9</c:v>
                </c:pt>
                <c:pt idx="565">
                  <c:v>1014.45</c:v>
                </c:pt>
                <c:pt idx="566">
                  <c:v>1000.9</c:v>
                </c:pt>
                <c:pt idx="567">
                  <c:v>1000.4</c:v>
                </c:pt>
                <c:pt idx="568">
                  <c:v>980.3</c:v>
                </c:pt>
                <c:pt idx="569">
                  <c:v>978.2</c:v>
                </c:pt>
                <c:pt idx="570">
                  <c:v>965.05</c:v>
                </c:pt>
                <c:pt idx="571">
                  <c:v>981.45</c:v>
                </c:pt>
                <c:pt idx="572">
                  <c:v>982.25</c:v>
                </c:pt>
                <c:pt idx="573">
                  <c:v>991.15</c:v>
                </c:pt>
                <c:pt idx="574">
                  <c:v>973.5</c:v>
                </c:pt>
                <c:pt idx="575">
                  <c:v>983.35</c:v>
                </c:pt>
                <c:pt idx="576">
                  <c:v>980.7</c:v>
                </c:pt>
                <c:pt idx="577">
                  <c:v>990.2</c:v>
                </c:pt>
                <c:pt idx="578">
                  <c:v>983.1</c:v>
                </c:pt>
                <c:pt idx="579">
                  <c:v>981.35</c:v>
                </c:pt>
                <c:pt idx="580">
                  <c:v>979.25</c:v>
                </c:pt>
                <c:pt idx="581">
                  <c:v>957.05</c:v>
                </c:pt>
                <c:pt idx="582">
                  <c:v>952.6</c:v>
                </c:pt>
                <c:pt idx="583">
                  <c:v>943.05</c:v>
                </c:pt>
                <c:pt idx="584">
                  <c:v>936.55</c:v>
                </c:pt>
                <c:pt idx="585">
                  <c:v>933.05</c:v>
                </c:pt>
                <c:pt idx="586">
                  <c:v>939.95</c:v>
                </c:pt>
                <c:pt idx="587">
                  <c:v>937.2</c:v>
                </c:pt>
                <c:pt idx="588">
                  <c:v>939.75</c:v>
                </c:pt>
                <c:pt idx="589">
                  <c:v>950</c:v>
                </c:pt>
                <c:pt idx="590">
                  <c:v>952.9</c:v>
                </c:pt>
                <c:pt idx="591">
                  <c:v>947.4</c:v>
                </c:pt>
                <c:pt idx="592">
                  <c:v>952.25</c:v>
                </c:pt>
                <c:pt idx="593">
                  <c:v>935.55</c:v>
                </c:pt>
                <c:pt idx="594">
                  <c:v>945.25</c:v>
                </c:pt>
                <c:pt idx="595">
                  <c:v>959.9</c:v>
                </c:pt>
                <c:pt idx="596">
                  <c:v>953.9</c:v>
                </c:pt>
                <c:pt idx="597">
                  <c:v>949.95</c:v>
                </c:pt>
                <c:pt idx="598">
                  <c:v>959.9</c:v>
                </c:pt>
                <c:pt idx="599">
                  <c:v>976.8</c:v>
                </c:pt>
                <c:pt idx="600">
                  <c:v>962.5</c:v>
                </c:pt>
                <c:pt idx="601">
                  <c:v>971.5</c:v>
                </c:pt>
                <c:pt idx="602">
                  <c:v>971.3</c:v>
                </c:pt>
                <c:pt idx="603">
                  <c:v>977.9</c:v>
                </c:pt>
                <c:pt idx="604">
                  <c:v>964.3</c:v>
                </c:pt>
                <c:pt idx="605">
                  <c:v>963.65</c:v>
                </c:pt>
                <c:pt idx="606">
                  <c:v>964.85</c:v>
                </c:pt>
                <c:pt idx="607">
                  <c:v>957.05</c:v>
                </c:pt>
                <c:pt idx="608">
                  <c:v>960.15</c:v>
                </c:pt>
                <c:pt idx="609">
                  <c:v>950</c:v>
                </c:pt>
                <c:pt idx="610">
                  <c:v>953.2</c:v>
                </c:pt>
                <c:pt idx="611">
                  <c:v>964.05</c:v>
                </c:pt>
                <c:pt idx="612">
                  <c:v>976.7</c:v>
                </c:pt>
                <c:pt idx="613">
                  <c:v>980.95</c:v>
                </c:pt>
                <c:pt idx="614">
                  <c:v>966.5</c:v>
                </c:pt>
                <c:pt idx="615">
                  <c:v>970.7</c:v>
                </c:pt>
                <c:pt idx="616">
                  <c:v>982.1</c:v>
                </c:pt>
                <c:pt idx="617">
                  <c:v>987.45</c:v>
                </c:pt>
                <c:pt idx="618">
                  <c:v>978.2</c:v>
                </c:pt>
                <c:pt idx="619">
                  <c:v>973.25</c:v>
                </c:pt>
                <c:pt idx="620">
                  <c:v>960.55</c:v>
                </c:pt>
                <c:pt idx="621">
                  <c:v>958.4</c:v>
                </c:pt>
                <c:pt idx="622">
                  <c:v>966.6</c:v>
                </c:pt>
                <c:pt idx="623">
                  <c:v>966</c:v>
                </c:pt>
                <c:pt idx="624">
                  <c:v>974.85</c:v>
                </c:pt>
                <c:pt idx="625">
                  <c:v>965.65</c:v>
                </c:pt>
                <c:pt idx="626">
                  <c:v>981.55</c:v>
                </c:pt>
                <c:pt idx="627">
                  <c:v>977.15</c:v>
                </c:pt>
                <c:pt idx="628">
                  <c:v>977.7</c:v>
                </c:pt>
                <c:pt idx="629">
                  <c:v>985.85</c:v>
                </c:pt>
                <c:pt idx="630">
                  <c:v>974.2</c:v>
                </c:pt>
                <c:pt idx="631">
                  <c:v>974.75</c:v>
                </c:pt>
                <c:pt idx="632">
                  <c:v>962.1</c:v>
                </c:pt>
                <c:pt idx="633">
                  <c:v>976.75</c:v>
                </c:pt>
                <c:pt idx="634">
                  <c:v>968.2</c:v>
                </c:pt>
                <c:pt idx="635">
                  <c:v>950.85</c:v>
                </c:pt>
                <c:pt idx="636">
                  <c:v>926.1</c:v>
                </c:pt>
                <c:pt idx="637">
                  <c:v>919.7</c:v>
                </c:pt>
                <c:pt idx="638">
                  <c:v>914.85</c:v>
                </c:pt>
                <c:pt idx="639">
                  <c:v>937.45</c:v>
                </c:pt>
                <c:pt idx="640">
                  <c:v>929.8</c:v>
                </c:pt>
                <c:pt idx="641">
                  <c:v>926.95</c:v>
                </c:pt>
                <c:pt idx="642">
                  <c:v>921.05</c:v>
                </c:pt>
                <c:pt idx="643">
                  <c:v>917.7</c:v>
                </c:pt>
                <c:pt idx="644">
                  <c:v>916.15</c:v>
                </c:pt>
                <c:pt idx="645">
                  <c:v>917.55</c:v>
                </c:pt>
                <c:pt idx="646">
                  <c:v>924.05</c:v>
                </c:pt>
                <c:pt idx="647">
                  <c:v>914.7</c:v>
                </c:pt>
                <c:pt idx="648">
                  <c:v>914.8</c:v>
                </c:pt>
                <c:pt idx="649">
                  <c:v>917.8</c:v>
                </c:pt>
                <c:pt idx="650">
                  <c:v>915.8</c:v>
                </c:pt>
                <c:pt idx="651">
                  <c:v>910.65</c:v>
                </c:pt>
                <c:pt idx="652">
                  <c:v>895.95</c:v>
                </c:pt>
                <c:pt idx="653">
                  <c:v>889.9</c:v>
                </c:pt>
                <c:pt idx="654">
                  <c:v>888.25</c:v>
                </c:pt>
                <c:pt idx="655">
                  <c:v>878.45</c:v>
                </c:pt>
                <c:pt idx="656">
                  <c:v>865.3</c:v>
                </c:pt>
                <c:pt idx="657">
                  <c:v>865.95</c:v>
                </c:pt>
                <c:pt idx="658">
                  <c:v>859.85</c:v>
                </c:pt>
                <c:pt idx="659">
                  <c:v>870.65</c:v>
                </c:pt>
                <c:pt idx="660">
                  <c:v>860</c:v>
                </c:pt>
                <c:pt idx="661">
                  <c:v>881.4</c:v>
                </c:pt>
                <c:pt idx="662">
                  <c:v>887.65</c:v>
                </c:pt>
                <c:pt idx="663">
                  <c:v>878.35</c:v>
                </c:pt>
                <c:pt idx="664">
                  <c:v>882.3</c:v>
                </c:pt>
                <c:pt idx="665">
                  <c:v>864.2</c:v>
                </c:pt>
                <c:pt idx="666">
                  <c:v>868.75</c:v>
                </c:pt>
                <c:pt idx="667">
                  <c:v>873.4</c:v>
                </c:pt>
                <c:pt idx="668">
                  <c:v>863.35</c:v>
                </c:pt>
                <c:pt idx="669">
                  <c:v>864.55</c:v>
                </c:pt>
                <c:pt idx="670">
                  <c:v>864.35</c:v>
                </c:pt>
                <c:pt idx="671">
                  <c:v>851.05</c:v>
                </c:pt>
                <c:pt idx="672">
                  <c:v>853.3</c:v>
                </c:pt>
                <c:pt idx="673">
                  <c:v>847.35</c:v>
                </c:pt>
                <c:pt idx="674">
                  <c:v>851.95</c:v>
                </c:pt>
                <c:pt idx="675">
                  <c:v>860.5</c:v>
                </c:pt>
                <c:pt idx="676">
                  <c:v>864.6</c:v>
                </c:pt>
                <c:pt idx="677">
                  <c:v>858.5</c:v>
                </c:pt>
                <c:pt idx="678">
                  <c:v>842.6</c:v>
                </c:pt>
                <c:pt idx="679">
                  <c:v>832.45</c:v>
                </c:pt>
                <c:pt idx="680">
                  <c:v>833.35</c:v>
                </c:pt>
                <c:pt idx="681">
                  <c:v>839.9</c:v>
                </c:pt>
                <c:pt idx="682">
                  <c:v>848.8</c:v>
                </c:pt>
                <c:pt idx="683">
                  <c:v>849.65</c:v>
                </c:pt>
                <c:pt idx="684">
                  <c:v>855.6</c:v>
                </c:pt>
                <c:pt idx="685">
                  <c:v>837.55</c:v>
                </c:pt>
                <c:pt idx="686">
                  <c:v>837.4</c:v>
                </c:pt>
                <c:pt idx="687">
                  <c:v>830.55</c:v>
                </c:pt>
                <c:pt idx="688">
                  <c:v>824.05</c:v>
                </c:pt>
                <c:pt idx="689">
                  <c:v>832.85</c:v>
                </c:pt>
                <c:pt idx="690">
                  <c:v>832.35</c:v>
                </c:pt>
                <c:pt idx="691">
                  <c:v>851.9</c:v>
                </c:pt>
                <c:pt idx="692">
                  <c:v>867.8</c:v>
                </c:pt>
                <c:pt idx="693">
                  <c:v>860.95</c:v>
                </c:pt>
                <c:pt idx="694">
                  <c:v>859.5</c:v>
                </c:pt>
                <c:pt idx="695">
                  <c:v>852.65</c:v>
                </c:pt>
                <c:pt idx="696">
                  <c:v>845.45</c:v>
                </c:pt>
                <c:pt idx="697">
                  <c:v>865.15</c:v>
                </c:pt>
                <c:pt idx="698">
                  <c:v>844.1</c:v>
                </c:pt>
                <c:pt idx="699">
                  <c:v>854.35</c:v>
                </c:pt>
                <c:pt idx="700">
                  <c:v>851.4</c:v>
                </c:pt>
                <c:pt idx="701">
                  <c:v>844.35</c:v>
                </c:pt>
                <c:pt idx="702">
                  <c:v>833.35</c:v>
                </c:pt>
                <c:pt idx="703">
                  <c:v>844.05</c:v>
                </c:pt>
                <c:pt idx="704">
                  <c:v>846.75</c:v>
                </c:pt>
                <c:pt idx="705">
                  <c:v>854.9</c:v>
                </c:pt>
                <c:pt idx="706">
                  <c:v>864.75</c:v>
                </c:pt>
                <c:pt idx="707">
                  <c:v>868.3</c:v>
                </c:pt>
                <c:pt idx="708">
                  <c:v>870.75</c:v>
                </c:pt>
                <c:pt idx="709">
                  <c:v>859.1</c:v>
                </c:pt>
                <c:pt idx="710">
                  <c:v>867.25</c:v>
                </c:pt>
                <c:pt idx="711">
                  <c:v>867.7</c:v>
                </c:pt>
                <c:pt idx="712">
                  <c:v>871.75</c:v>
                </c:pt>
                <c:pt idx="713">
                  <c:v>879.1</c:v>
                </c:pt>
                <c:pt idx="714">
                  <c:v>882.65</c:v>
                </c:pt>
                <c:pt idx="715">
                  <c:v>882.6</c:v>
                </c:pt>
                <c:pt idx="716">
                  <c:v>868.45</c:v>
                </c:pt>
                <c:pt idx="717">
                  <c:v>857.25</c:v>
                </c:pt>
                <c:pt idx="718">
                  <c:v>871.6</c:v>
                </c:pt>
                <c:pt idx="719">
                  <c:v>871.85</c:v>
                </c:pt>
                <c:pt idx="720">
                  <c:v>873.75</c:v>
                </c:pt>
                <c:pt idx="721">
                  <c:v>892.35</c:v>
                </c:pt>
                <c:pt idx="722">
                  <c:v>910.2</c:v>
                </c:pt>
                <c:pt idx="723">
                  <c:v>932.7</c:v>
                </c:pt>
                <c:pt idx="724">
                  <c:v>930.55</c:v>
                </c:pt>
                <c:pt idx="725">
                  <c:v>928.7</c:v>
                </c:pt>
                <c:pt idx="726">
                  <c:v>924</c:v>
                </c:pt>
                <c:pt idx="727">
                  <c:v>917.7</c:v>
                </c:pt>
                <c:pt idx="728">
                  <c:v>913.15</c:v>
                </c:pt>
                <c:pt idx="729">
                  <c:v>934.15</c:v>
                </c:pt>
                <c:pt idx="730">
                  <c:v>935.55</c:v>
                </c:pt>
                <c:pt idx="731">
                  <c:v>949.75</c:v>
                </c:pt>
                <c:pt idx="732">
                  <c:v>952.15</c:v>
                </c:pt>
                <c:pt idx="733">
                  <c:v>958.75</c:v>
                </c:pt>
                <c:pt idx="734">
                  <c:v>939.9</c:v>
                </c:pt>
                <c:pt idx="735">
                  <c:v>949.55</c:v>
                </c:pt>
                <c:pt idx="736">
                  <c:v>957.45</c:v>
                </c:pt>
                <c:pt idx="737">
                  <c:v>962.3</c:v>
                </c:pt>
                <c:pt idx="738">
                  <c:v>941.6</c:v>
                </c:pt>
                <c:pt idx="739">
                  <c:v>933.75</c:v>
                </c:pt>
                <c:pt idx="740">
                  <c:v>934.55</c:v>
                </c:pt>
                <c:pt idx="741">
                  <c:v>924.7</c:v>
                </c:pt>
                <c:pt idx="742">
                  <c:v>932.2</c:v>
                </c:pt>
                <c:pt idx="743">
                  <c:v>928.7</c:v>
                </c:pt>
                <c:pt idx="744">
                  <c:v>906.6</c:v>
                </c:pt>
                <c:pt idx="745">
                  <c:v>919.55</c:v>
                </c:pt>
                <c:pt idx="746">
                  <c:v>932.3</c:v>
                </c:pt>
                <c:pt idx="747">
                  <c:v>949.75</c:v>
                </c:pt>
                <c:pt idx="748">
                  <c:v>946.2</c:v>
                </c:pt>
                <c:pt idx="749">
                  <c:v>935.1</c:v>
                </c:pt>
                <c:pt idx="750">
                  <c:v>938.15</c:v>
                </c:pt>
                <c:pt idx="751">
                  <c:v>942.4</c:v>
                </c:pt>
                <c:pt idx="752">
                  <c:v>944.6</c:v>
                </c:pt>
                <c:pt idx="753">
                  <c:v>938.65</c:v>
                </c:pt>
                <c:pt idx="754">
                  <c:v>933.7</c:v>
                </c:pt>
                <c:pt idx="755">
                  <c:v>939.35</c:v>
                </c:pt>
                <c:pt idx="756">
                  <c:v>914.65</c:v>
                </c:pt>
                <c:pt idx="757">
                  <c:v>904.65</c:v>
                </c:pt>
                <c:pt idx="758">
                  <c:v>899.2</c:v>
                </c:pt>
                <c:pt idx="759">
                  <c:v>905.15</c:v>
                </c:pt>
                <c:pt idx="760">
                  <c:v>903.85</c:v>
                </c:pt>
                <c:pt idx="761">
                  <c:v>901.25</c:v>
                </c:pt>
                <c:pt idx="762">
                  <c:v>892.55</c:v>
                </c:pt>
                <c:pt idx="763">
                  <c:v>891.7</c:v>
                </c:pt>
                <c:pt idx="764">
                  <c:v>887.75</c:v>
                </c:pt>
                <c:pt idx="765">
                  <c:v>878.55</c:v>
                </c:pt>
                <c:pt idx="766">
                  <c:v>874.7</c:v>
                </c:pt>
                <c:pt idx="767">
                  <c:v>870.05</c:v>
                </c:pt>
                <c:pt idx="768">
                  <c:v>870.05</c:v>
                </c:pt>
                <c:pt idx="769">
                  <c:v>859.2</c:v>
                </c:pt>
                <c:pt idx="770">
                  <c:v>858.2</c:v>
                </c:pt>
                <c:pt idx="771">
                  <c:v>855.4</c:v>
                </c:pt>
                <c:pt idx="772">
                  <c:v>858.65</c:v>
                </c:pt>
                <c:pt idx="773">
                  <c:v>851</c:v>
                </c:pt>
                <c:pt idx="774">
                  <c:v>850.7</c:v>
                </c:pt>
                <c:pt idx="775">
                  <c:v>843.7</c:v>
                </c:pt>
                <c:pt idx="776">
                  <c:v>873.7</c:v>
                </c:pt>
                <c:pt idx="777">
                  <c:v>872.95</c:v>
                </c:pt>
                <c:pt idx="778">
                  <c:v>868.1</c:v>
                </c:pt>
                <c:pt idx="779">
                  <c:v>864.05</c:v>
                </c:pt>
                <c:pt idx="780">
                  <c:v>863.55</c:v>
                </c:pt>
                <c:pt idx="781">
                  <c:v>871.75</c:v>
                </c:pt>
                <c:pt idx="782">
                  <c:v>906</c:v>
                </c:pt>
                <c:pt idx="783">
                  <c:v>903.05</c:v>
                </c:pt>
                <c:pt idx="784">
                  <c:v>915.15</c:v>
                </c:pt>
                <c:pt idx="785">
                  <c:v>902.85</c:v>
                </c:pt>
                <c:pt idx="786">
                  <c:v>909.45</c:v>
                </c:pt>
                <c:pt idx="787">
                  <c:v>900.4</c:v>
                </c:pt>
                <c:pt idx="788">
                  <c:v>825.85</c:v>
                </c:pt>
                <c:pt idx="789">
                  <c:v>829.85</c:v>
                </c:pt>
                <c:pt idx="790">
                  <c:v>816.35</c:v>
                </c:pt>
                <c:pt idx="791">
                  <c:v>814.15</c:v>
                </c:pt>
                <c:pt idx="792">
                  <c:v>800.5</c:v>
                </c:pt>
                <c:pt idx="793">
                  <c:v>802</c:v>
                </c:pt>
                <c:pt idx="794">
                  <c:v>808.7</c:v>
                </c:pt>
                <c:pt idx="795">
                  <c:v>785.55</c:v>
                </c:pt>
                <c:pt idx="796">
                  <c:v>776.85</c:v>
                </c:pt>
                <c:pt idx="797">
                  <c:v>755.7</c:v>
                </c:pt>
                <c:pt idx="798">
                  <c:v>755.1</c:v>
                </c:pt>
                <c:pt idx="799">
                  <c:v>742.8</c:v>
                </c:pt>
                <c:pt idx="800">
                  <c:v>722.75</c:v>
                </c:pt>
                <c:pt idx="801">
                  <c:v>733.2</c:v>
                </c:pt>
                <c:pt idx="802">
                  <c:v>719</c:v>
                </c:pt>
                <c:pt idx="803">
                  <c:v>716.45</c:v>
                </c:pt>
                <c:pt idx="804">
                  <c:v>737.5</c:v>
                </c:pt>
                <c:pt idx="805">
                  <c:v>742.6</c:v>
                </c:pt>
                <c:pt idx="806">
                  <c:v>768.6</c:v>
                </c:pt>
                <c:pt idx="807">
                  <c:v>789.2</c:v>
                </c:pt>
                <c:pt idx="808">
                  <c:v>806.55</c:v>
                </c:pt>
                <c:pt idx="809">
                  <c:v>812.75</c:v>
                </c:pt>
                <c:pt idx="810">
                  <c:v>798.1</c:v>
                </c:pt>
                <c:pt idx="811">
                  <c:v>789.3</c:v>
                </c:pt>
                <c:pt idx="812">
                  <c:v>790</c:v>
                </c:pt>
                <c:pt idx="813">
                  <c:v>803.05</c:v>
                </c:pt>
                <c:pt idx="814">
                  <c:v>805.55</c:v>
                </c:pt>
                <c:pt idx="815">
                  <c:v>801</c:v>
                </c:pt>
                <c:pt idx="816">
                  <c:v>784.85</c:v>
                </c:pt>
                <c:pt idx="817">
                  <c:v>779.75</c:v>
                </c:pt>
                <c:pt idx="818">
                  <c:v>755.4</c:v>
                </c:pt>
                <c:pt idx="819">
                  <c:v>750</c:v>
                </c:pt>
                <c:pt idx="820">
                  <c:v>756.1</c:v>
                </c:pt>
                <c:pt idx="821">
                  <c:v>750.2</c:v>
                </c:pt>
                <c:pt idx="822">
                  <c:v>744.15</c:v>
                </c:pt>
                <c:pt idx="823">
                  <c:v>751.5</c:v>
                </c:pt>
                <c:pt idx="824">
                  <c:v>728.7</c:v>
                </c:pt>
                <c:pt idx="825">
                  <c:v>744.9</c:v>
                </c:pt>
                <c:pt idx="826">
                  <c:v>743.35</c:v>
                </c:pt>
                <c:pt idx="827">
                  <c:v>750.15</c:v>
                </c:pt>
                <c:pt idx="828">
                  <c:v>747.05</c:v>
                </c:pt>
                <c:pt idx="829">
                  <c:v>741.85</c:v>
                </c:pt>
                <c:pt idx="830">
                  <c:v>757.5</c:v>
                </c:pt>
                <c:pt idx="831">
                  <c:v>765.05</c:v>
                </c:pt>
                <c:pt idx="832">
                  <c:v>772.1</c:v>
                </c:pt>
                <c:pt idx="833">
                  <c:v>764.65</c:v>
                </c:pt>
                <c:pt idx="834">
                  <c:v>760.55</c:v>
                </c:pt>
                <c:pt idx="835">
                  <c:v>758.85</c:v>
                </c:pt>
                <c:pt idx="836">
                  <c:v>739</c:v>
                </c:pt>
                <c:pt idx="837">
                  <c:v>745.55</c:v>
                </c:pt>
                <c:pt idx="838">
                  <c:v>728.5</c:v>
                </c:pt>
                <c:pt idx="839">
                  <c:v>721.6</c:v>
                </c:pt>
                <c:pt idx="840">
                  <c:v>730.5</c:v>
                </c:pt>
                <c:pt idx="841">
                  <c:v>730.45</c:v>
                </c:pt>
                <c:pt idx="842">
                  <c:v>730.8</c:v>
                </c:pt>
                <c:pt idx="843">
                  <c:v>724.75</c:v>
                </c:pt>
                <c:pt idx="844">
                  <c:v>725.9</c:v>
                </c:pt>
                <c:pt idx="845">
                  <c:v>718.95</c:v>
                </c:pt>
                <c:pt idx="846">
                  <c:v>706.45</c:v>
                </c:pt>
                <c:pt idx="847">
                  <c:v>727.35</c:v>
                </c:pt>
                <c:pt idx="848">
                  <c:v>730.75</c:v>
                </c:pt>
                <c:pt idx="849">
                  <c:v>715.55</c:v>
                </c:pt>
                <c:pt idx="850">
                  <c:v>705.7</c:v>
                </c:pt>
                <c:pt idx="851">
                  <c:v>700.6</c:v>
                </c:pt>
                <c:pt idx="852">
                  <c:v>684.5</c:v>
                </c:pt>
                <c:pt idx="853">
                  <c:v>662.2</c:v>
                </c:pt>
                <c:pt idx="854">
                  <c:v>668.25</c:v>
                </c:pt>
                <c:pt idx="855">
                  <c:v>679.9</c:v>
                </c:pt>
                <c:pt idx="856">
                  <c:v>676.2</c:v>
                </c:pt>
                <c:pt idx="857">
                  <c:v>679.85</c:v>
                </c:pt>
                <c:pt idx="858">
                  <c:v>669.15</c:v>
                </c:pt>
                <c:pt idx="859">
                  <c:v>658.15</c:v>
                </c:pt>
                <c:pt idx="860">
                  <c:v>657.95</c:v>
                </c:pt>
                <c:pt idx="861">
                  <c:v>648.5</c:v>
                </c:pt>
                <c:pt idx="862">
                  <c:v>654.35</c:v>
                </c:pt>
                <c:pt idx="863">
                  <c:v>643.95000000000005</c:v>
                </c:pt>
                <c:pt idx="864">
                  <c:v>636.79999999999995</c:v>
                </c:pt>
                <c:pt idx="865">
                  <c:v>625.54999999999995</c:v>
                </c:pt>
                <c:pt idx="866">
                  <c:v>642.35</c:v>
                </c:pt>
                <c:pt idx="867">
                  <c:v>637.1</c:v>
                </c:pt>
                <c:pt idx="868">
                  <c:v>634</c:v>
                </c:pt>
                <c:pt idx="869">
                  <c:v>629.35</c:v>
                </c:pt>
                <c:pt idx="870">
                  <c:v>626.79999999999995</c:v>
                </c:pt>
                <c:pt idx="871">
                  <c:v>636.5</c:v>
                </c:pt>
                <c:pt idx="872">
                  <c:v>628.29999999999995</c:v>
                </c:pt>
                <c:pt idx="873">
                  <c:v>635.20000000000005</c:v>
                </c:pt>
                <c:pt idx="874">
                  <c:v>634.9</c:v>
                </c:pt>
                <c:pt idx="875">
                  <c:v>650.5</c:v>
                </c:pt>
                <c:pt idx="876">
                  <c:v>650.75</c:v>
                </c:pt>
                <c:pt idx="877">
                  <c:v>648.95000000000005</c:v>
                </c:pt>
                <c:pt idx="878">
                  <c:v>660.7</c:v>
                </c:pt>
                <c:pt idx="879">
                  <c:v>661.3</c:v>
                </c:pt>
                <c:pt idx="880">
                  <c:v>658.6</c:v>
                </c:pt>
                <c:pt idx="881">
                  <c:v>665.85</c:v>
                </c:pt>
                <c:pt idx="882">
                  <c:v>672.2</c:v>
                </c:pt>
                <c:pt idx="883">
                  <c:v>677.3</c:v>
                </c:pt>
                <c:pt idx="884">
                  <c:v>691.55</c:v>
                </c:pt>
                <c:pt idx="885">
                  <c:v>686.05</c:v>
                </c:pt>
                <c:pt idx="886">
                  <c:v>685.2</c:v>
                </c:pt>
                <c:pt idx="887">
                  <c:v>693.65</c:v>
                </c:pt>
                <c:pt idx="888">
                  <c:v>688.3</c:v>
                </c:pt>
                <c:pt idx="889">
                  <c:v>683.25</c:v>
                </c:pt>
                <c:pt idx="890">
                  <c:v>665</c:v>
                </c:pt>
                <c:pt idx="891">
                  <c:v>664.05</c:v>
                </c:pt>
                <c:pt idx="892">
                  <c:v>675.35</c:v>
                </c:pt>
                <c:pt idx="893">
                  <c:v>673.1</c:v>
                </c:pt>
                <c:pt idx="894">
                  <c:v>650.20000000000005</c:v>
                </c:pt>
                <c:pt idx="895">
                  <c:v>659.45</c:v>
                </c:pt>
                <c:pt idx="896">
                  <c:v>654.95000000000005</c:v>
                </c:pt>
                <c:pt idx="897">
                  <c:v>638.95000000000005</c:v>
                </c:pt>
                <c:pt idx="898">
                  <c:v>635.95000000000005</c:v>
                </c:pt>
                <c:pt idx="899">
                  <c:v>649.65</c:v>
                </c:pt>
                <c:pt idx="900">
                  <c:v>672.35</c:v>
                </c:pt>
                <c:pt idx="901">
                  <c:v>659.75</c:v>
                </c:pt>
                <c:pt idx="902">
                  <c:v>663.7</c:v>
                </c:pt>
                <c:pt idx="903">
                  <c:v>673.4</c:v>
                </c:pt>
                <c:pt idx="904">
                  <c:v>702.35</c:v>
                </c:pt>
                <c:pt idx="905">
                  <c:v>707.2</c:v>
                </c:pt>
                <c:pt idx="906">
                  <c:v>727.35</c:v>
                </c:pt>
                <c:pt idx="907">
                  <c:v>728.6</c:v>
                </c:pt>
                <c:pt idx="908">
                  <c:v>779.8</c:v>
                </c:pt>
                <c:pt idx="909">
                  <c:v>765.9</c:v>
                </c:pt>
                <c:pt idx="910">
                  <c:v>775</c:v>
                </c:pt>
                <c:pt idx="911">
                  <c:v>780.7</c:v>
                </c:pt>
                <c:pt idx="912">
                  <c:v>780.6</c:v>
                </c:pt>
                <c:pt idx="913">
                  <c:v>801.8</c:v>
                </c:pt>
                <c:pt idx="914">
                  <c:v>794.7</c:v>
                </c:pt>
                <c:pt idx="915">
                  <c:v>797.8</c:v>
                </c:pt>
                <c:pt idx="916">
                  <c:v>798.85</c:v>
                </c:pt>
                <c:pt idx="917">
                  <c:v>793.05</c:v>
                </c:pt>
                <c:pt idx="918">
                  <c:v>798.45</c:v>
                </c:pt>
                <c:pt idx="919">
                  <c:v>786.05</c:v>
                </c:pt>
                <c:pt idx="920">
                  <c:v>794.9</c:v>
                </c:pt>
                <c:pt idx="921">
                  <c:v>792.1</c:v>
                </c:pt>
                <c:pt idx="922">
                  <c:v>773.7</c:v>
                </c:pt>
                <c:pt idx="923">
                  <c:v>783.1</c:v>
                </c:pt>
                <c:pt idx="924">
                  <c:v>784.1</c:v>
                </c:pt>
                <c:pt idx="925">
                  <c:v>774.55</c:v>
                </c:pt>
                <c:pt idx="926">
                  <c:v>761.15</c:v>
                </c:pt>
                <c:pt idx="927">
                  <c:v>750.45</c:v>
                </c:pt>
                <c:pt idx="928">
                  <c:v>737.8</c:v>
                </c:pt>
                <c:pt idx="929">
                  <c:v>736</c:v>
                </c:pt>
                <c:pt idx="930">
                  <c:v>721.25</c:v>
                </c:pt>
                <c:pt idx="931">
                  <c:v>722.25</c:v>
                </c:pt>
                <c:pt idx="932">
                  <c:v>726.75</c:v>
                </c:pt>
                <c:pt idx="933">
                  <c:v>731.4</c:v>
                </c:pt>
                <c:pt idx="934">
                  <c:v>725.9</c:v>
                </c:pt>
                <c:pt idx="935">
                  <c:v>739.25</c:v>
                </c:pt>
                <c:pt idx="936">
                  <c:v>723.85</c:v>
                </c:pt>
                <c:pt idx="937">
                  <c:v>698.15</c:v>
                </c:pt>
                <c:pt idx="938">
                  <c:v>710.05</c:v>
                </c:pt>
                <c:pt idx="939">
                  <c:v>690.85</c:v>
                </c:pt>
                <c:pt idx="940">
                  <c:v>694.95</c:v>
                </c:pt>
                <c:pt idx="941">
                  <c:v>674.2</c:v>
                </c:pt>
                <c:pt idx="942">
                  <c:v>670.4</c:v>
                </c:pt>
                <c:pt idx="943">
                  <c:v>667.55</c:v>
                </c:pt>
                <c:pt idx="944">
                  <c:v>715</c:v>
                </c:pt>
                <c:pt idx="945">
                  <c:v>737.65</c:v>
                </c:pt>
                <c:pt idx="946">
                  <c:v>750.25</c:v>
                </c:pt>
                <c:pt idx="947">
                  <c:v>742.4</c:v>
                </c:pt>
                <c:pt idx="948">
                  <c:v>758.05</c:v>
                </c:pt>
                <c:pt idx="949">
                  <c:v>730.3</c:v>
                </c:pt>
                <c:pt idx="950">
                  <c:v>777.2</c:v>
                </c:pt>
                <c:pt idx="951">
                  <c:v>779.15</c:v>
                </c:pt>
                <c:pt idx="952">
                  <c:v>788.85</c:v>
                </c:pt>
                <c:pt idx="953">
                  <c:v>787.4</c:v>
                </c:pt>
                <c:pt idx="954">
                  <c:v>782.8</c:v>
                </c:pt>
                <c:pt idx="955">
                  <c:v>797.05</c:v>
                </c:pt>
                <c:pt idx="956">
                  <c:v>796.95</c:v>
                </c:pt>
                <c:pt idx="957">
                  <c:v>773.35</c:v>
                </c:pt>
                <c:pt idx="958">
                  <c:v>803.8</c:v>
                </c:pt>
                <c:pt idx="959">
                  <c:v>809.8</c:v>
                </c:pt>
                <c:pt idx="960">
                  <c:v>803.85</c:v>
                </c:pt>
                <c:pt idx="961">
                  <c:v>798.55</c:v>
                </c:pt>
                <c:pt idx="962">
                  <c:v>789.6</c:v>
                </c:pt>
                <c:pt idx="963">
                  <c:v>798.55</c:v>
                </c:pt>
                <c:pt idx="964">
                  <c:v>799.55</c:v>
                </c:pt>
                <c:pt idx="965">
                  <c:v>804.1</c:v>
                </c:pt>
                <c:pt idx="966">
                  <c:v>781.9</c:v>
                </c:pt>
                <c:pt idx="967">
                  <c:v>773.05</c:v>
                </c:pt>
                <c:pt idx="968">
                  <c:v>764.7</c:v>
                </c:pt>
                <c:pt idx="969">
                  <c:v>773.85</c:v>
                </c:pt>
                <c:pt idx="970">
                  <c:v>752.2</c:v>
                </c:pt>
                <c:pt idx="971">
                  <c:v>704.6</c:v>
                </c:pt>
                <c:pt idx="972">
                  <c:v>712.5</c:v>
                </c:pt>
                <c:pt idx="973">
                  <c:v>728.9</c:v>
                </c:pt>
                <c:pt idx="974">
                  <c:v>729.6</c:v>
                </c:pt>
                <c:pt idx="975">
                  <c:v>725.2</c:v>
                </c:pt>
                <c:pt idx="976">
                  <c:v>712.65</c:v>
                </c:pt>
                <c:pt idx="977">
                  <c:v>721.7</c:v>
                </c:pt>
                <c:pt idx="978">
                  <c:v>740.7</c:v>
                </c:pt>
                <c:pt idx="979">
                  <c:v>746.85</c:v>
                </c:pt>
                <c:pt idx="980">
                  <c:v>743.25</c:v>
                </c:pt>
                <c:pt idx="981">
                  <c:v>742.8</c:v>
                </c:pt>
                <c:pt idx="982">
                  <c:v>730.6</c:v>
                </c:pt>
                <c:pt idx="983">
                  <c:v>730.3</c:v>
                </c:pt>
                <c:pt idx="984">
                  <c:v>726.9</c:v>
                </c:pt>
                <c:pt idx="985">
                  <c:v>709.15</c:v>
                </c:pt>
                <c:pt idx="986">
                  <c:v>696.35</c:v>
                </c:pt>
                <c:pt idx="987">
                  <c:v>678.55</c:v>
                </c:pt>
                <c:pt idx="988">
                  <c:v>668.85</c:v>
                </c:pt>
                <c:pt idx="989">
                  <c:v>670.5</c:v>
                </c:pt>
                <c:pt idx="990">
                  <c:v>675.45</c:v>
                </c:pt>
                <c:pt idx="991">
                  <c:v>672.15</c:v>
                </c:pt>
                <c:pt idx="992">
                  <c:v>667.5</c:v>
                </c:pt>
                <c:pt idx="993">
                  <c:v>678.8</c:v>
                </c:pt>
                <c:pt idx="994">
                  <c:v>669.35</c:v>
                </c:pt>
                <c:pt idx="995">
                  <c:v>665.85</c:v>
                </c:pt>
                <c:pt idx="996">
                  <c:v>674.35</c:v>
                </c:pt>
                <c:pt idx="997">
                  <c:v>688.9</c:v>
                </c:pt>
                <c:pt idx="998">
                  <c:v>709.65</c:v>
                </c:pt>
                <c:pt idx="999">
                  <c:v>712.5</c:v>
                </c:pt>
                <c:pt idx="1000">
                  <c:v>710.9</c:v>
                </c:pt>
                <c:pt idx="1001">
                  <c:v>704</c:v>
                </c:pt>
                <c:pt idx="1002">
                  <c:v>688.05</c:v>
                </c:pt>
                <c:pt idx="1003">
                  <c:v>693.95</c:v>
                </c:pt>
                <c:pt idx="1004">
                  <c:v>697.1</c:v>
                </c:pt>
                <c:pt idx="1005">
                  <c:v>687</c:v>
                </c:pt>
                <c:pt idx="1006">
                  <c:v>663.1</c:v>
                </c:pt>
                <c:pt idx="1007">
                  <c:v>673</c:v>
                </c:pt>
                <c:pt idx="1008">
                  <c:v>676.1</c:v>
                </c:pt>
                <c:pt idx="1009">
                  <c:v>679.6</c:v>
                </c:pt>
                <c:pt idx="1010">
                  <c:v>655.65</c:v>
                </c:pt>
                <c:pt idx="1011">
                  <c:v>651.1</c:v>
                </c:pt>
                <c:pt idx="1012">
                  <c:v>661.75</c:v>
                </c:pt>
                <c:pt idx="1013">
                  <c:v>679.9</c:v>
                </c:pt>
                <c:pt idx="1014">
                  <c:v>685.15</c:v>
                </c:pt>
                <c:pt idx="1015">
                  <c:v>685.65</c:v>
                </c:pt>
                <c:pt idx="1016">
                  <c:v>686.4</c:v>
                </c:pt>
                <c:pt idx="1017">
                  <c:v>706.35</c:v>
                </c:pt>
                <c:pt idx="1018">
                  <c:v>712.35</c:v>
                </c:pt>
                <c:pt idx="1019">
                  <c:v>726.15</c:v>
                </c:pt>
                <c:pt idx="1020">
                  <c:v>733.25</c:v>
                </c:pt>
                <c:pt idx="1021">
                  <c:v>736.05</c:v>
                </c:pt>
                <c:pt idx="1022">
                  <c:v>738.05</c:v>
                </c:pt>
                <c:pt idx="1023">
                  <c:v>749.35</c:v>
                </c:pt>
                <c:pt idx="1024">
                  <c:v>745.05</c:v>
                </c:pt>
                <c:pt idx="1025">
                  <c:v>751.05</c:v>
                </c:pt>
                <c:pt idx="1026">
                  <c:v>752.95</c:v>
                </c:pt>
                <c:pt idx="1027">
                  <c:v>750.6</c:v>
                </c:pt>
                <c:pt idx="1028">
                  <c:v>755.85</c:v>
                </c:pt>
                <c:pt idx="1029">
                  <c:v>752.35</c:v>
                </c:pt>
                <c:pt idx="1030">
                  <c:v>742</c:v>
                </c:pt>
                <c:pt idx="1031">
                  <c:v>758.35</c:v>
                </c:pt>
                <c:pt idx="1032">
                  <c:v>787.5</c:v>
                </c:pt>
                <c:pt idx="1033">
                  <c:v>841.9</c:v>
                </c:pt>
                <c:pt idx="1034">
                  <c:v>845.1</c:v>
                </c:pt>
                <c:pt idx="1035">
                  <c:v>816.7</c:v>
                </c:pt>
                <c:pt idx="1036">
                  <c:v>807.8</c:v>
                </c:pt>
                <c:pt idx="1037">
                  <c:v>804.8</c:v>
                </c:pt>
                <c:pt idx="1038">
                  <c:v>801.65</c:v>
                </c:pt>
                <c:pt idx="1039">
                  <c:v>813.3</c:v>
                </c:pt>
                <c:pt idx="1040">
                  <c:v>802.05</c:v>
                </c:pt>
                <c:pt idx="1041">
                  <c:v>794.6</c:v>
                </c:pt>
                <c:pt idx="1042">
                  <c:v>797.15</c:v>
                </c:pt>
                <c:pt idx="1043">
                  <c:v>787.15</c:v>
                </c:pt>
                <c:pt idx="1044">
                  <c:v>781.95</c:v>
                </c:pt>
                <c:pt idx="1045">
                  <c:v>777.1</c:v>
                </c:pt>
                <c:pt idx="1046">
                  <c:v>778.95</c:v>
                </c:pt>
                <c:pt idx="1047">
                  <c:v>782.6</c:v>
                </c:pt>
                <c:pt idx="1048">
                  <c:v>779</c:v>
                </c:pt>
                <c:pt idx="1049">
                  <c:v>768.15</c:v>
                </c:pt>
                <c:pt idx="1050">
                  <c:v>766.55</c:v>
                </c:pt>
                <c:pt idx="1051">
                  <c:v>782.15</c:v>
                </c:pt>
                <c:pt idx="1052">
                  <c:v>789.2</c:v>
                </c:pt>
                <c:pt idx="1053">
                  <c:v>796.95</c:v>
                </c:pt>
                <c:pt idx="1054">
                  <c:v>798.05</c:v>
                </c:pt>
                <c:pt idx="1055">
                  <c:v>812.15</c:v>
                </c:pt>
                <c:pt idx="1056">
                  <c:v>788.35</c:v>
                </c:pt>
                <c:pt idx="1057">
                  <c:v>795.35</c:v>
                </c:pt>
                <c:pt idx="1058">
                  <c:v>795.85</c:v>
                </c:pt>
                <c:pt idx="1059">
                  <c:v>807.35</c:v>
                </c:pt>
                <c:pt idx="1060">
                  <c:v>802.6</c:v>
                </c:pt>
                <c:pt idx="1061">
                  <c:v>791.4</c:v>
                </c:pt>
                <c:pt idx="1062">
                  <c:v>794.4</c:v>
                </c:pt>
                <c:pt idx="1063">
                  <c:v>788.35</c:v>
                </c:pt>
                <c:pt idx="1064">
                  <c:v>790.15</c:v>
                </c:pt>
                <c:pt idx="1065">
                  <c:v>794.7</c:v>
                </c:pt>
                <c:pt idx="1066">
                  <c:v>787.85</c:v>
                </c:pt>
                <c:pt idx="1067">
                  <c:v>800.8</c:v>
                </c:pt>
                <c:pt idx="1068">
                  <c:v>798</c:v>
                </c:pt>
                <c:pt idx="1069">
                  <c:v>802.7</c:v>
                </c:pt>
                <c:pt idx="1070">
                  <c:v>798.9</c:v>
                </c:pt>
                <c:pt idx="1071">
                  <c:v>786.5</c:v>
                </c:pt>
                <c:pt idx="1072">
                  <c:v>784.05</c:v>
                </c:pt>
                <c:pt idx="1073">
                  <c:v>752.4</c:v>
                </c:pt>
                <c:pt idx="1074">
                  <c:v>746.35</c:v>
                </c:pt>
                <c:pt idx="1075">
                  <c:v>739.05</c:v>
                </c:pt>
                <c:pt idx="1076">
                  <c:v>746.35</c:v>
                </c:pt>
                <c:pt idx="1077">
                  <c:v>736.1</c:v>
                </c:pt>
                <c:pt idx="1078">
                  <c:v>740.25</c:v>
                </c:pt>
                <c:pt idx="1079">
                  <c:v>754.4</c:v>
                </c:pt>
                <c:pt idx="1080">
                  <c:v>756.75</c:v>
                </c:pt>
                <c:pt idx="1081">
                  <c:v>762</c:v>
                </c:pt>
                <c:pt idx="1082">
                  <c:v>759.9</c:v>
                </c:pt>
                <c:pt idx="1083">
                  <c:v>757.35</c:v>
                </c:pt>
                <c:pt idx="1084">
                  <c:v>760.8</c:v>
                </c:pt>
                <c:pt idx="1085">
                  <c:v>761.55</c:v>
                </c:pt>
                <c:pt idx="1086">
                  <c:v>755.5</c:v>
                </c:pt>
                <c:pt idx="1087">
                  <c:v>740.85</c:v>
                </c:pt>
                <c:pt idx="1088">
                  <c:v>749.3</c:v>
                </c:pt>
                <c:pt idx="1089">
                  <c:v>753.8</c:v>
                </c:pt>
                <c:pt idx="1090">
                  <c:v>738.6</c:v>
                </c:pt>
                <c:pt idx="1091">
                  <c:v>721.15</c:v>
                </c:pt>
                <c:pt idx="1092">
                  <c:v>708.9</c:v>
                </c:pt>
                <c:pt idx="1093">
                  <c:v>717.25</c:v>
                </c:pt>
                <c:pt idx="1094">
                  <c:v>722.9</c:v>
                </c:pt>
                <c:pt idx="1095">
                  <c:v>731.7</c:v>
                </c:pt>
                <c:pt idx="1096">
                  <c:v>756.3</c:v>
                </c:pt>
                <c:pt idx="1097">
                  <c:v>755.4</c:v>
                </c:pt>
                <c:pt idx="1098">
                  <c:v>746.75</c:v>
                </c:pt>
                <c:pt idx="1099">
                  <c:v>745.75</c:v>
                </c:pt>
                <c:pt idx="1100">
                  <c:v>755.2</c:v>
                </c:pt>
                <c:pt idx="1101">
                  <c:v>771.15</c:v>
                </c:pt>
                <c:pt idx="1102">
                  <c:v>774.15</c:v>
                </c:pt>
                <c:pt idx="1103">
                  <c:v>770.05</c:v>
                </c:pt>
                <c:pt idx="1104">
                  <c:v>770.75</c:v>
                </c:pt>
                <c:pt idx="1105">
                  <c:v>753.6</c:v>
                </c:pt>
                <c:pt idx="1106">
                  <c:v>747.35</c:v>
                </c:pt>
                <c:pt idx="1107">
                  <c:v>754.4</c:v>
                </c:pt>
                <c:pt idx="1108">
                  <c:v>762.9</c:v>
                </c:pt>
                <c:pt idx="1109">
                  <c:v>758.35</c:v>
                </c:pt>
                <c:pt idx="1110">
                  <c:v>760.35</c:v>
                </c:pt>
                <c:pt idx="1111">
                  <c:v>750.65</c:v>
                </c:pt>
                <c:pt idx="1112">
                  <c:v>746.45</c:v>
                </c:pt>
                <c:pt idx="1113">
                  <c:v>748.3</c:v>
                </c:pt>
                <c:pt idx="1114">
                  <c:v>751.95</c:v>
                </c:pt>
                <c:pt idx="1115">
                  <c:v>762.4</c:v>
                </c:pt>
                <c:pt idx="1116">
                  <c:v>761.35</c:v>
                </c:pt>
                <c:pt idx="1117">
                  <c:v>739.15</c:v>
                </c:pt>
                <c:pt idx="1118">
                  <c:v>732.35</c:v>
                </c:pt>
                <c:pt idx="1119">
                  <c:v>739.35</c:v>
                </c:pt>
                <c:pt idx="1120">
                  <c:v>739.55</c:v>
                </c:pt>
                <c:pt idx="1121">
                  <c:v>736.3</c:v>
                </c:pt>
                <c:pt idx="1122">
                  <c:v>738.6</c:v>
                </c:pt>
                <c:pt idx="1123">
                  <c:v>749.8</c:v>
                </c:pt>
                <c:pt idx="1124">
                  <c:v>750.9</c:v>
                </c:pt>
                <c:pt idx="1125">
                  <c:v>736.25</c:v>
                </c:pt>
                <c:pt idx="1126">
                  <c:v>738.45</c:v>
                </c:pt>
                <c:pt idx="1127">
                  <c:v>744.25</c:v>
                </c:pt>
                <c:pt idx="1128">
                  <c:v>736.75</c:v>
                </c:pt>
                <c:pt idx="1129">
                  <c:v>746.35</c:v>
                </c:pt>
                <c:pt idx="1130">
                  <c:v>751.1</c:v>
                </c:pt>
                <c:pt idx="1131">
                  <c:v>742.05</c:v>
                </c:pt>
                <c:pt idx="1132">
                  <c:v>750.65</c:v>
                </c:pt>
                <c:pt idx="1133">
                  <c:v>737</c:v>
                </c:pt>
                <c:pt idx="1134">
                  <c:v>745.15</c:v>
                </c:pt>
                <c:pt idx="1135">
                  <c:v>750.7</c:v>
                </c:pt>
                <c:pt idx="1136">
                  <c:v>739.85</c:v>
                </c:pt>
                <c:pt idx="1137">
                  <c:v>750.35</c:v>
                </c:pt>
                <c:pt idx="1138">
                  <c:v>735.1</c:v>
                </c:pt>
                <c:pt idx="1139">
                  <c:v>731.55</c:v>
                </c:pt>
                <c:pt idx="1140">
                  <c:v>741.15</c:v>
                </c:pt>
                <c:pt idx="1141">
                  <c:v>730.9</c:v>
                </c:pt>
                <c:pt idx="1142">
                  <c:v>705.9</c:v>
                </c:pt>
                <c:pt idx="1143">
                  <c:v>716.8</c:v>
                </c:pt>
                <c:pt idx="1144">
                  <c:v>711.65</c:v>
                </c:pt>
                <c:pt idx="1145">
                  <c:v>709.25</c:v>
                </c:pt>
                <c:pt idx="1146">
                  <c:v>685</c:v>
                </c:pt>
                <c:pt idx="1147">
                  <c:v>691.3</c:v>
                </c:pt>
                <c:pt idx="1148">
                  <c:v>707.35</c:v>
                </c:pt>
                <c:pt idx="1149">
                  <c:v>715.25</c:v>
                </c:pt>
                <c:pt idx="1150">
                  <c:v>716.75</c:v>
                </c:pt>
                <c:pt idx="1151">
                  <c:v>715.75</c:v>
                </c:pt>
                <c:pt idx="1152">
                  <c:v>717.2</c:v>
                </c:pt>
                <c:pt idx="1153">
                  <c:v>700.35</c:v>
                </c:pt>
                <c:pt idx="1154">
                  <c:v>702.75</c:v>
                </c:pt>
                <c:pt idx="1155">
                  <c:v>714.9</c:v>
                </c:pt>
                <c:pt idx="1156">
                  <c:v>719.4</c:v>
                </c:pt>
                <c:pt idx="1157">
                  <c:v>708.15</c:v>
                </c:pt>
                <c:pt idx="1158">
                  <c:v>699.55</c:v>
                </c:pt>
                <c:pt idx="1159">
                  <c:v>700.45</c:v>
                </c:pt>
                <c:pt idx="1160">
                  <c:v>671.35</c:v>
                </c:pt>
                <c:pt idx="1161">
                  <c:v>658.7</c:v>
                </c:pt>
                <c:pt idx="1162">
                  <c:v>651.75</c:v>
                </c:pt>
                <c:pt idx="1163">
                  <c:v>648.15</c:v>
                </c:pt>
                <c:pt idx="1164">
                  <c:v>669.2</c:v>
                </c:pt>
                <c:pt idx="1165">
                  <c:v>668.85</c:v>
                </c:pt>
                <c:pt idx="1166">
                  <c:v>661</c:v>
                </c:pt>
                <c:pt idx="1167">
                  <c:v>635.6</c:v>
                </c:pt>
                <c:pt idx="1168">
                  <c:v>668.2</c:v>
                </c:pt>
                <c:pt idx="1169">
                  <c:v>681.6</c:v>
                </c:pt>
                <c:pt idx="1170">
                  <c:v>688.25</c:v>
                </c:pt>
                <c:pt idx="1171">
                  <c:v>677.9</c:v>
                </c:pt>
                <c:pt idx="1172">
                  <c:v>685.25</c:v>
                </c:pt>
                <c:pt idx="1173">
                  <c:v>713</c:v>
                </c:pt>
                <c:pt idx="1174">
                  <c:v>697.45</c:v>
                </c:pt>
                <c:pt idx="1175">
                  <c:v>695.35</c:v>
                </c:pt>
                <c:pt idx="1176">
                  <c:v>698.2</c:v>
                </c:pt>
                <c:pt idx="1177">
                  <c:v>694.6</c:v>
                </c:pt>
                <c:pt idx="1178">
                  <c:v>706.4</c:v>
                </c:pt>
                <c:pt idx="1179">
                  <c:v>730.55</c:v>
                </c:pt>
                <c:pt idx="1180">
                  <c:v>716.2</c:v>
                </c:pt>
                <c:pt idx="1181">
                  <c:v>726.25</c:v>
                </c:pt>
                <c:pt idx="1182">
                  <c:v>718.75</c:v>
                </c:pt>
                <c:pt idx="1183">
                  <c:v>727.9</c:v>
                </c:pt>
                <c:pt idx="1184">
                  <c:v>737.75</c:v>
                </c:pt>
                <c:pt idx="1185">
                  <c:v>744.4</c:v>
                </c:pt>
                <c:pt idx="1186">
                  <c:v>750.6</c:v>
                </c:pt>
                <c:pt idx="1187">
                  <c:v>760.75</c:v>
                </c:pt>
                <c:pt idx="1188">
                  <c:v>745.45</c:v>
                </c:pt>
                <c:pt idx="1189">
                  <c:v>743.3</c:v>
                </c:pt>
                <c:pt idx="1190">
                  <c:v>730.75</c:v>
                </c:pt>
                <c:pt idx="1191">
                  <c:v>736.8</c:v>
                </c:pt>
                <c:pt idx="1192">
                  <c:v>753.95</c:v>
                </c:pt>
                <c:pt idx="1193">
                  <c:v>731.25</c:v>
                </c:pt>
                <c:pt idx="1194">
                  <c:v>728.55</c:v>
                </c:pt>
                <c:pt idx="1195">
                  <c:v>724.8</c:v>
                </c:pt>
                <c:pt idx="1196">
                  <c:v>770.65</c:v>
                </c:pt>
                <c:pt idx="1197">
                  <c:v>749.4</c:v>
                </c:pt>
                <c:pt idx="1198">
                  <c:v>715.95</c:v>
                </c:pt>
                <c:pt idx="1199">
                  <c:v>719.45</c:v>
                </c:pt>
                <c:pt idx="1200">
                  <c:v>749.65</c:v>
                </c:pt>
                <c:pt idx="1201">
                  <c:v>777</c:v>
                </c:pt>
                <c:pt idx="1202">
                  <c:v>777.75</c:v>
                </c:pt>
                <c:pt idx="1203">
                  <c:v>775.05</c:v>
                </c:pt>
                <c:pt idx="1204">
                  <c:v>794</c:v>
                </c:pt>
                <c:pt idx="1205">
                  <c:v>750.4</c:v>
                </c:pt>
                <c:pt idx="1206">
                  <c:v>740.1</c:v>
                </c:pt>
                <c:pt idx="1207">
                  <c:v>734.8</c:v>
                </c:pt>
                <c:pt idx="1208">
                  <c:v>742.5</c:v>
                </c:pt>
                <c:pt idx="1209">
                  <c:v>736.15</c:v>
                </c:pt>
                <c:pt idx="1210">
                  <c:v>719.6</c:v>
                </c:pt>
                <c:pt idx="1211">
                  <c:v>743.9</c:v>
                </c:pt>
                <c:pt idx="1212">
                  <c:v>733.8</c:v>
                </c:pt>
                <c:pt idx="1213">
                  <c:v>714.2</c:v>
                </c:pt>
                <c:pt idx="1214">
                  <c:v>709.35</c:v>
                </c:pt>
                <c:pt idx="1215">
                  <c:v>662.9</c:v>
                </c:pt>
                <c:pt idx="1216">
                  <c:v>670.7</c:v>
                </c:pt>
                <c:pt idx="1217">
                  <c:v>632.1</c:v>
                </c:pt>
                <c:pt idx="1218">
                  <c:v>658.4</c:v>
                </c:pt>
                <c:pt idx="1219">
                  <c:v>644.5</c:v>
                </c:pt>
                <c:pt idx="1220">
                  <c:v>675.85</c:v>
                </c:pt>
                <c:pt idx="1221">
                  <c:v>675.75</c:v>
                </c:pt>
                <c:pt idx="1222">
                  <c:v>668.75</c:v>
                </c:pt>
                <c:pt idx="1223">
                  <c:v>657</c:v>
                </c:pt>
                <c:pt idx="1224">
                  <c:v>674.85</c:v>
                </c:pt>
                <c:pt idx="1225">
                  <c:v>676</c:v>
                </c:pt>
                <c:pt idx="1226">
                  <c:v>687.8</c:v>
                </c:pt>
                <c:pt idx="1227">
                  <c:v>675.7</c:v>
                </c:pt>
                <c:pt idx="1228">
                  <c:v>666.95</c:v>
                </c:pt>
                <c:pt idx="1229">
                  <c:v>672.7</c:v>
                </c:pt>
                <c:pt idx="1230">
                  <c:v>671.1</c:v>
                </c:pt>
                <c:pt idx="1231">
                  <c:v>654.25</c:v>
                </c:pt>
                <c:pt idx="1232">
                  <c:v>664.45</c:v>
                </c:pt>
                <c:pt idx="1233">
                  <c:v>624.70000000000005</c:v>
                </c:pt>
                <c:pt idx="1234">
                  <c:v>623.79999999999995</c:v>
                </c:pt>
                <c:pt idx="1235">
                  <c:v>620.45000000000005</c:v>
                </c:pt>
                <c:pt idx="1236">
                  <c:v>625.1</c:v>
                </c:pt>
                <c:pt idx="1237">
                  <c:v>630.20000000000005</c:v>
                </c:pt>
                <c:pt idx="1238">
                  <c:v>617.65</c:v>
                </c:pt>
              </c:numCache>
            </c:numRef>
          </c:val>
          <c:smooth val="0"/>
          <c:extLst>
            <c:ext xmlns:c16="http://schemas.microsoft.com/office/drawing/2014/chart" uri="{C3380CC4-5D6E-409C-BE32-E72D297353CC}">
              <c16:uniqueId val="{00000000-F525-44E1-96EA-953C945C8ADD}"/>
            </c:ext>
          </c:extLst>
        </c:ser>
        <c:dLbls>
          <c:showLegendKey val="0"/>
          <c:showVal val="0"/>
          <c:showCatName val="0"/>
          <c:showSerName val="0"/>
          <c:showPercent val="0"/>
          <c:showBubbleSize val="0"/>
        </c:dLbls>
        <c:smooth val="0"/>
        <c:axId val="119593984"/>
        <c:axId val="119591584"/>
      </c:lineChart>
      <c:dateAx>
        <c:axId val="11959398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91584"/>
        <c:crosses val="autoZero"/>
        <c:auto val="1"/>
        <c:lblOffset val="100"/>
        <c:baseTimeUnit val="days"/>
      </c:dateAx>
      <c:valAx>
        <c:axId val="119591584"/>
        <c:scaling>
          <c:orientation val="minMax"/>
          <c:max val="1300"/>
          <c:min val="6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9398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SHEET'!$E$3</c:f>
              <c:strCache>
                <c:ptCount val="1"/>
                <c:pt idx="0">
                  <c:v>Volume</c:v>
                </c:pt>
              </c:strCache>
            </c:strRef>
          </c:tx>
          <c:spPr>
            <a:solidFill>
              <a:schemeClr val="bg1">
                <a:lumMod val="75000"/>
              </a:schemeClr>
            </a:solidFill>
            <a:ln w="9525" cap="flat" cmpd="sng" algn="ctr">
              <a:noFill/>
              <a:round/>
            </a:ln>
            <a:effectLst/>
          </c:spPr>
          <c:invertIfNegative val="0"/>
          <c:cat>
            <c:numRef>
              <c:f>'INPUT SHEET'!$D$4:$D$1242</c:f>
              <c:numCache>
                <c:formatCode>d\-mmm\-yy</c:formatCode>
                <c:ptCount val="1239"/>
                <c:pt idx="0">
                  <c:v>46014</c:v>
                </c:pt>
                <c:pt idx="1">
                  <c:v>46013</c:v>
                </c:pt>
                <c:pt idx="2">
                  <c:v>46010</c:v>
                </c:pt>
                <c:pt idx="3">
                  <c:v>46009</c:v>
                </c:pt>
                <c:pt idx="4">
                  <c:v>46008</c:v>
                </c:pt>
                <c:pt idx="5">
                  <c:v>46007</c:v>
                </c:pt>
                <c:pt idx="6">
                  <c:v>46006</c:v>
                </c:pt>
                <c:pt idx="7">
                  <c:v>46003</c:v>
                </c:pt>
                <c:pt idx="8">
                  <c:v>46002</c:v>
                </c:pt>
                <c:pt idx="9">
                  <c:v>46001</c:v>
                </c:pt>
                <c:pt idx="10">
                  <c:v>46000</c:v>
                </c:pt>
                <c:pt idx="11">
                  <c:v>45999</c:v>
                </c:pt>
                <c:pt idx="12">
                  <c:v>45996</c:v>
                </c:pt>
                <c:pt idx="13">
                  <c:v>45995</c:v>
                </c:pt>
                <c:pt idx="14">
                  <c:v>45994</c:v>
                </c:pt>
                <c:pt idx="15">
                  <c:v>45993</c:v>
                </c:pt>
                <c:pt idx="16">
                  <c:v>45992</c:v>
                </c:pt>
                <c:pt idx="17">
                  <c:v>45989</c:v>
                </c:pt>
                <c:pt idx="18">
                  <c:v>45988</c:v>
                </c:pt>
                <c:pt idx="19">
                  <c:v>45987</c:v>
                </c:pt>
                <c:pt idx="20">
                  <c:v>45986</c:v>
                </c:pt>
                <c:pt idx="21">
                  <c:v>45985</c:v>
                </c:pt>
                <c:pt idx="22">
                  <c:v>45982</c:v>
                </c:pt>
                <c:pt idx="23">
                  <c:v>45981</c:v>
                </c:pt>
                <c:pt idx="24">
                  <c:v>45980</c:v>
                </c:pt>
                <c:pt idx="25">
                  <c:v>45979</c:v>
                </c:pt>
                <c:pt idx="26">
                  <c:v>45978</c:v>
                </c:pt>
                <c:pt idx="27">
                  <c:v>45975</c:v>
                </c:pt>
                <c:pt idx="28">
                  <c:v>45974</c:v>
                </c:pt>
                <c:pt idx="29">
                  <c:v>45973</c:v>
                </c:pt>
                <c:pt idx="30">
                  <c:v>45972</c:v>
                </c:pt>
                <c:pt idx="31">
                  <c:v>45971</c:v>
                </c:pt>
                <c:pt idx="32">
                  <c:v>45968</c:v>
                </c:pt>
                <c:pt idx="33">
                  <c:v>45967</c:v>
                </c:pt>
                <c:pt idx="34">
                  <c:v>45965</c:v>
                </c:pt>
                <c:pt idx="35">
                  <c:v>45964</c:v>
                </c:pt>
                <c:pt idx="36">
                  <c:v>45961</c:v>
                </c:pt>
                <c:pt idx="37">
                  <c:v>45960</c:v>
                </c:pt>
                <c:pt idx="38">
                  <c:v>45959</c:v>
                </c:pt>
                <c:pt idx="39">
                  <c:v>45958</c:v>
                </c:pt>
                <c:pt idx="40">
                  <c:v>45957</c:v>
                </c:pt>
                <c:pt idx="41">
                  <c:v>45954</c:v>
                </c:pt>
                <c:pt idx="42">
                  <c:v>45953</c:v>
                </c:pt>
                <c:pt idx="43">
                  <c:v>45951</c:v>
                </c:pt>
                <c:pt idx="44">
                  <c:v>45950</c:v>
                </c:pt>
                <c:pt idx="45">
                  <c:v>45947</c:v>
                </c:pt>
                <c:pt idx="46">
                  <c:v>45946</c:v>
                </c:pt>
                <c:pt idx="47">
                  <c:v>45945</c:v>
                </c:pt>
                <c:pt idx="48">
                  <c:v>45944</c:v>
                </c:pt>
                <c:pt idx="49">
                  <c:v>45943</c:v>
                </c:pt>
                <c:pt idx="50">
                  <c:v>45940</c:v>
                </c:pt>
                <c:pt idx="51">
                  <c:v>45939</c:v>
                </c:pt>
                <c:pt idx="52">
                  <c:v>45938</c:v>
                </c:pt>
                <c:pt idx="53">
                  <c:v>45937</c:v>
                </c:pt>
                <c:pt idx="54">
                  <c:v>45936</c:v>
                </c:pt>
                <c:pt idx="55">
                  <c:v>45933</c:v>
                </c:pt>
                <c:pt idx="56">
                  <c:v>45931</c:v>
                </c:pt>
                <c:pt idx="57">
                  <c:v>45930</c:v>
                </c:pt>
                <c:pt idx="58">
                  <c:v>45929</c:v>
                </c:pt>
                <c:pt idx="59">
                  <c:v>45926</c:v>
                </c:pt>
                <c:pt idx="60">
                  <c:v>45925</c:v>
                </c:pt>
                <c:pt idx="61">
                  <c:v>45924</c:v>
                </c:pt>
                <c:pt idx="62">
                  <c:v>45923</c:v>
                </c:pt>
                <c:pt idx="63">
                  <c:v>45922</c:v>
                </c:pt>
                <c:pt idx="64">
                  <c:v>45919</c:v>
                </c:pt>
                <c:pt idx="65">
                  <c:v>45918</c:v>
                </c:pt>
                <c:pt idx="66">
                  <c:v>45917</c:v>
                </c:pt>
                <c:pt idx="67">
                  <c:v>45916</c:v>
                </c:pt>
                <c:pt idx="68">
                  <c:v>45915</c:v>
                </c:pt>
                <c:pt idx="69">
                  <c:v>45912</c:v>
                </c:pt>
                <c:pt idx="70">
                  <c:v>45911</c:v>
                </c:pt>
                <c:pt idx="71">
                  <c:v>45910</c:v>
                </c:pt>
                <c:pt idx="72">
                  <c:v>45909</c:v>
                </c:pt>
                <c:pt idx="73">
                  <c:v>45908</c:v>
                </c:pt>
                <c:pt idx="74">
                  <c:v>45905</c:v>
                </c:pt>
                <c:pt idx="75">
                  <c:v>45904</c:v>
                </c:pt>
                <c:pt idx="76">
                  <c:v>45903</c:v>
                </c:pt>
                <c:pt idx="77">
                  <c:v>45902</c:v>
                </c:pt>
                <c:pt idx="78">
                  <c:v>45901</c:v>
                </c:pt>
                <c:pt idx="79">
                  <c:v>45898</c:v>
                </c:pt>
                <c:pt idx="80">
                  <c:v>45897</c:v>
                </c:pt>
                <c:pt idx="81">
                  <c:v>45895</c:v>
                </c:pt>
                <c:pt idx="82">
                  <c:v>45894</c:v>
                </c:pt>
                <c:pt idx="83">
                  <c:v>45891</c:v>
                </c:pt>
                <c:pt idx="84">
                  <c:v>45890</c:v>
                </c:pt>
                <c:pt idx="85">
                  <c:v>45889</c:v>
                </c:pt>
                <c:pt idx="86">
                  <c:v>45888</c:v>
                </c:pt>
                <c:pt idx="87">
                  <c:v>45887</c:v>
                </c:pt>
                <c:pt idx="88">
                  <c:v>45883</c:v>
                </c:pt>
                <c:pt idx="89">
                  <c:v>45882</c:v>
                </c:pt>
                <c:pt idx="90">
                  <c:v>45881</c:v>
                </c:pt>
                <c:pt idx="91">
                  <c:v>45880</c:v>
                </c:pt>
                <c:pt idx="92">
                  <c:v>45877</c:v>
                </c:pt>
                <c:pt idx="93">
                  <c:v>45876</c:v>
                </c:pt>
                <c:pt idx="94">
                  <c:v>45875</c:v>
                </c:pt>
                <c:pt idx="95">
                  <c:v>45874</c:v>
                </c:pt>
                <c:pt idx="96">
                  <c:v>45873</c:v>
                </c:pt>
                <c:pt idx="97">
                  <c:v>45870</c:v>
                </c:pt>
                <c:pt idx="98">
                  <c:v>45869</c:v>
                </c:pt>
                <c:pt idx="99">
                  <c:v>45868</c:v>
                </c:pt>
                <c:pt idx="100">
                  <c:v>45867</c:v>
                </c:pt>
                <c:pt idx="101">
                  <c:v>45866</c:v>
                </c:pt>
                <c:pt idx="102">
                  <c:v>45863</c:v>
                </c:pt>
                <c:pt idx="103">
                  <c:v>45862</c:v>
                </c:pt>
                <c:pt idx="104">
                  <c:v>45861</c:v>
                </c:pt>
                <c:pt idx="105">
                  <c:v>45860</c:v>
                </c:pt>
                <c:pt idx="106">
                  <c:v>45859</c:v>
                </c:pt>
                <c:pt idx="107">
                  <c:v>45856</c:v>
                </c:pt>
                <c:pt idx="108">
                  <c:v>45855</c:v>
                </c:pt>
                <c:pt idx="109">
                  <c:v>45854</c:v>
                </c:pt>
                <c:pt idx="110">
                  <c:v>45853</c:v>
                </c:pt>
                <c:pt idx="111">
                  <c:v>45852</c:v>
                </c:pt>
                <c:pt idx="112">
                  <c:v>45849</c:v>
                </c:pt>
                <c:pt idx="113">
                  <c:v>45848</c:v>
                </c:pt>
                <c:pt idx="114">
                  <c:v>45847</c:v>
                </c:pt>
                <c:pt idx="115">
                  <c:v>45846</c:v>
                </c:pt>
                <c:pt idx="116">
                  <c:v>45845</c:v>
                </c:pt>
                <c:pt idx="117">
                  <c:v>45842</c:v>
                </c:pt>
                <c:pt idx="118">
                  <c:v>45841</c:v>
                </c:pt>
                <c:pt idx="119">
                  <c:v>45840</c:v>
                </c:pt>
                <c:pt idx="120">
                  <c:v>45839</c:v>
                </c:pt>
                <c:pt idx="121">
                  <c:v>45838</c:v>
                </c:pt>
                <c:pt idx="122">
                  <c:v>45835</c:v>
                </c:pt>
                <c:pt idx="123">
                  <c:v>45834</c:v>
                </c:pt>
                <c:pt idx="124">
                  <c:v>45833</c:v>
                </c:pt>
                <c:pt idx="125">
                  <c:v>45832</c:v>
                </c:pt>
                <c:pt idx="126">
                  <c:v>45831</c:v>
                </c:pt>
                <c:pt idx="127">
                  <c:v>45828</c:v>
                </c:pt>
                <c:pt idx="128">
                  <c:v>45827</c:v>
                </c:pt>
                <c:pt idx="129">
                  <c:v>45826</c:v>
                </c:pt>
                <c:pt idx="130">
                  <c:v>45825</c:v>
                </c:pt>
                <c:pt idx="131">
                  <c:v>45824</c:v>
                </c:pt>
                <c:pt idx="132">
                  <c:v>45821</c:v>
                </c:pt>
                <c:pt idx="133">
                  <c:v>45820</c:v>
                </c:pt>
                <c:pt idx="134">
                  <c:v>45819</c:v>
                </c:pt>
                <c:pt idx="135">
                  <c:v>45818</c:v>
                </c:pt>
                <c:pt idx="136">
                  <c:v>45817</c:v>
                </c:pt>
                <c:pt idx="137">
                  <c:v>45814</c:v>
                </c:pt>
                <c:pt idx="138">
                  <c:v>45813</c:v>
                </c:pt>
                <c:pt idx="139">
                  <c:v>45812</c:v>
                </c:pt>
                <c:pt idx="140">
                  <c:v>45811</c:v>
                </c:pt>
                <c:pt idx="141">
                  <c:v>45810</c:v>
                </c:pt>
                <c:pt idx="142">
                  <c:v>45807</c:v>
                </c:pt>
                <c:pt idx="143">
                  <c:v>45806</c:v>
                </c:pt>
                <c:pt idx="144">
                  <c:v>45805</c:v>
                </c:pt>
                <c:pt idx="145">
                  <c:v>45804</c:v>
                </c:pt>
                <c:pt idx="146">
                  <c:v>45803</c:v>
                </c:pt>
                <c:pt idx="147">
                  <c:v>45800</c:v>
                </c:pt>
                <c:pt idx="148">
                  <c:v>45799</c:v>
                </c:pt>
                <c:pt idx="149">
                  <c:v>45798</c:v>
                </c:pt>
                <c:pt idx="150">
                  <c:v>45797</c:v>
                </c:pt>
                <c:pt idx="151">
                  <c:v>45796</c:v>
                </c:pt>
                <c:pt idx="152">
                  <c:v>45793</c:v>
                </c:pt>
                <c:pt idx="153">
                  <c:v>45792</c:v>
                </c:pt>
                <c:pt idx="154">
                  <c:v>45791</c:v>
                </c:pt>
                <c:pt idx="155">
                  <c:v>45790</c:v>
                </c:pt>
                <c:pt idx="156">
                  <c:v>45789</c:v>
                </c:pt>
                <c:pt idx="157">
                  <c:v>45786</c:v>
                </c:pt>
                <c:pt idx="158">
                  <c:v>45785</c:v>
                </c:pt>
                <c:pt idx="159">
                  <c:v>45784</c:v>
                </c:pt>
                <c:pt idx="160">
                  <c:v>45783</c:v>
                </c:pt>
                <c:pt idx="161">
                  <c:v>45782</c:v>
                </c:pt>
                <c:pt idx="162">
                  <c:v>45779</c:v>
                </c:pt>
                <c:pt idx="163">
                  <c:v>45777</c:v>
                </c:pt>
                <c:pt idx="164">
                  <c:v>45776</c:v>
                </c:pt>
                <c:pt idx="165">
                  <c:v>45775</c:v>
                </c:pt>
                <c:pt idx="166">
                  <c:v>45772</c:v>
                </c:pt>
                <c:pt idx="167">
                  <c:v>45771</c:v>
                </c:pt>
                <c:pt idx="168">
                  <c:v>45770</c:v>
                </c:pt>
                <c:pt idx="169">
                  <c:v>45769</c:v>
                </c:pt>
                <c:pt idx="170">
                  <c:v>45768</c:v>
                </c:pt>
                <c:pt idx="171">
                  <c:v>45764</c:v>
                </c:pt>
                <c:pt idx="172">
                  <c:v>45763</c:v>
                </c:pt>
                <c:pt idx="173">
                  <c:v>45762</c:v>
                </c:pt>
                <c:pt idx="174">
                  <c:v>45758</c:v>
                </c:pt>
                <c:pt idx="175">
                  <c:v>45756</c:v>
                </c:pt>
                <c:pt idx="176">
                  <c:v>45755</c:v>
                </c:pt>
                <c:pt idx="177">
                  <c:v>45754</c:v>
                </c:pt>
                <c:pt idx="178">
                  <c:v>45751</c:v>
                </c:pt>
                <c:pt idx="179">
                  <c:v>45750</c:v>
                </c:pt>
                <c:pt idx="180">
                  <c:v>45749</c:v>
                </c:pt>
                <c:pt idx="181">
                  <c:v>45748</c:v>
                </c:pt>
                <c:pt idx="182">
                  <c:v>45744</c:v>
                </c:pt>
                <c:pt idx="183">
                  <c:v>45743</c:v>
                </c:pt>
                <c:pt idx="184">
                  <c:v>45742</c:v>
                </c:pt>
                <c:pt idx="185">
                  <c:v>45741</c:v>
                </c:pt>
                <c:pt idx="186">
                  <c:v>45740</c:v>
                </c:pt>
                <c:pt idx="187">
                  <c:v>45737</c:v>
                </c:pt>
                <c:pt idx="188">
                  <c:v>45736</c:v>
                </c:pt>
                <c:pt idx="189">
                  <c:v>45735</c:v>
                </c:pt>
                <c:pt idx="190">
                  <c:v>45734</c:v>
                </c:pt>
                <c:pt idx="191">
                  <c:v>45733</c:v>
                </c:pt>
                <c:pt idx="192">
                  <c:v>45729</c:v>
                </c:pt>
                <c:pt idx="193">
                  <c:v>45728</c:v>
                </c:pt>
                <c:pt idx="194">
                  <c:v>45727</c:v>
                </c:pt>
                <c:pt idx="195">
                  <c:v>45726</c:v>
                </c:pt>
                <c:pt idx="196">
                  <c:v>45723</c:v>
                </c:pt>
                <c:pt idx="197">
                  <c:v>45722</c:v>
                </c:pt>
                <c:pt idx="198">
                  <c:v>45721</c:v>
                </c:pt>
                <c:pt idx="199">
                  <c:v>45720</c:v>
                </c:pt>
                <c:pt idx="200">
                  <c:v>45719</c:v>
                </c:pt>
                <c:pt idx="201">
                  <c:v>45716</c:v>
                </c:pt>
                <c:pt idx="202">
                  <c:v>45715</c:v>
                </c:pt>
                <c:pt idx="203">
                  <c:v>45713</c:v>
                </c:pt>
                <c:pt idx="204">
                  <c:v>45712</c:v>
                </c:pt>
                <c:pt idx="205">
                  <c:v>45709</c:v>
                </c:pt>
                <c:pt idx="206">
                  <c:v>45708</c:v>
                </c:pt>
                <c:pt idx="207">
                  <c:v>45707</c:v>
                </c:pt>
                <c:pt idx="208">
                  <c:v>45706</c:v>
                </c:pt>
                <c:pt idx="209">
                  <c:v>45705</c:v>
                </c:pt>
                <c:pt idx="210">
                  <c:v>45702</c:v>
                </c:pt>
                <c:pt idx="211">
                  <c:v>45701</c:v>
                </c:pt>
                <c:pt idx="212">
                  <c:v>45700</c:v>
                </c:pt>
                <c:pt idx="213">
                  <c:v>45699</c:v>
                </c:pt>
                <c:pt idx="214">
                  <c:v>45698</c:v>
                </c:pt>
                <c:pt idx="215">
                  <c:v>45695</c:v>
                </c:pt>
                <c:pt idx="216">
                  <c:v>45694</c:v>
                </c:pt>
                <c:pt idx="217">
                  <c:v>45693</c:v>
                </c:pt>
                <c:pt idx="218">
                  <c:v>45692</c:v>
                </c:pt>
                <c:pt idx="219">
                  <c:v>45691</c:v>
                </c:pt>
                <c:pt idx="220">
                  <c:v>45689</c:v>
                </c:pt>
                <c:pt idx="221">
                  <c:v>45688</c:v>
                </c:pt>
                <c:pt idx="222">
                  <c:v>45687</c:v>
                </c:pt>
                <c:pt idx="223">
                  <c:v>45686</c:v>
                </c:pt>
                <c:pt idx="224">
                  <c:v>45685</c:v>
                </c:pt>
                <c:pt idx="225">
                  <c:v>45684</c:v>
                </c:pt>
                <c:pt idx="226">
                  <c:v>45681</c:v>
                </c:pt>
                <c:pt idx="227">
                  <c:v>45680</c:v>
                </c:pt>
                <c:pt idx="228">
                  <c:v>45679</c:v>
                </c:pt>
                <c:pt idx="229">
                  <c:v>45678</c:v>
                </c:pt>
                <c:pt idx="230">
                  <c:v>45677</c:v>
                </c:pt>
                <c:pt idx="231">
                  <c:v>45674</c:v>
                </c:pt>
                <c:pt idx="232">
                  <c:v>45673</c:v>
                </c:pt>
                <c:pt idx="233">
                  <c:v>45672</c:v>
                </c:pt>
                <c:pt idx="234">
                  <c:v>45671</c:v>
                </c:pt>
                <c:pt idx="235">
                  <c:v>45670</c:v>
                </c:pt>
                <c:pt idx="236">
                  <c:v>45667</c:v>
                </c:pt>
                <c:pt idx="237">
                  <c:v>45666</c:v>
                </c:pt>
                <c:pt idx="238">
                  <c:v>45665</c:v>
                </c:pt>
                <c:pt idx="239">
                  <c:v>45664</c:v>
                </c:pt>
                <c:pt idx="240">
                  <c:v>45663</c:v>
                </c:pt>
                <c:pt idx="241">
                  <c:v>45660</c:v>
                </c:pt>
                <c:pt idx="242">
                  <c:v>45659</c:v>
                </c:pt>
                <c:pt idx="243">
                  <c:v>45658</c:v>
                </c:pt>
                <c:pt idx="244">
                  <c:v>45657</c:v>
                </c:pt>
                <c:pt idx="245">
                  <c:v>45656</c:v>
                </c:pt>
                <c:pt idx="246">
                  <c:v>45653</c:v>
                </c:pt>
                <c:pt idx="247">
                  <c:v>45652</c:v>
                </c:pt>
                <c:pt idx="248">
                  <c:v>45650</c:v>
                </c:pt>
                <c:pt idx="249">
                  <c:v>45649</c:v>
                </c:pt>
                <c:pt idx="250">
                  <c:v>45646</c:v>
                </c:pt>
                <c:pt idx="251">
                  <c:v>45645</c:v>
                </c:pt>
                <c:pt idx="252">
                  <c:v>45644</c:v>
                </c:pt>
                <c:pt idx="253">
                  <c:v>45643</c:v>
                </c:pt>
                <c:pt idx="254">
                  <c:v>45642</c:v>
                </c:pt>
                <c:pt idx="255">
                  <c:v>45639</c:v>
                </c:pt>
                <c:pt idx="256">
                  <c:v>45638</c:v>
                </c:pt>
                <c:pt idx="257">
                  <c:v>45637</c:v>
                </c:pt>
                <c:pt idx="258">
                  <c:v>45636</c:v>
                </c:pt>
                <c:pt idx="259">
                  <c:v>45635</c:v>
                </c:pt>
                <c:pt idx="260">
                  <c:v>45632</c:v>
                </c:pt>
                <c:pt idx="261">
                  <c:v>45631</c:v>
                </c:pt>
                <c:pt idx="262">
                  <c:v>45630</c:v>
                </c:pt>
                <c:pt idx="263">
                  <c:v>45629</c:v>
                </c:pt>
                <c:pt idx="264">
                  <c:v>45628</c:v>
                </c:pt>
                <c:pt idx="265">
                  <c:v>45625</c:v>
                </c:pt>
                <c:pt idx="266">
                  <c:v>45624</c:v>
                </c:pt>
                <c:pt idx="267">
                  <c:v>45623</c:v>
                </c:pt>
                <c:pt idx="268">
                  <c:v>45622</c:v>
                </c:pt>
                <c:pt idx="269">
                  <c:v>45621</c:v>
                </c:pt>
                <c:pt idx="270">
                  <c:v>45618</c:v>
                </c:pt>
                <c:pt idx="271">
                  <c:v>45617</c:v>
                </c:pt>
                <c:pt idx="272">
                  <c:v>45615</c:v>
                </c:pt>
                <c:pt idx="273">
                  <c:v>45614</c:v>
                </c:pt>
                <c:pt idx="274">
                  <c:v>45610</c:v>
                </c:pt>
                <c:pt idx="275">
                  <c:v>45609</c:v>
                </c:pt>
                <c:pt idx="276">
                  <c:v>45608</c:v>
                </c:pt>
                <c:pt idx="277">
                  <c:v>45607</c:v>
                </c:pt>
                <c:pt idx="278">
                  <c:v>45604</c:v>
                </c:pt>
                <c:pt idx="279">
                  <c:v>45603</c:v>
                </c:pt>
                <c:pt idx="280">
                  <c:v>45602</c:v>
                </c:pt>
                <c:pt idx="281">
                  <c:v>45601</c:v>
                </c:pt>
                <c:pt idx="282">
                  <c:v>45600</c:v>
                </c:pt>
                <c:pt idx="283">
                  <c:v>45597</c:v>
                </c:pt>
                <c:pt idx="284">
                  <c:v>45596</c:v>
                </c:pt>
                <c:pt idx="285">
                  <c:v>45595</c:v>
                </c:pt>
                <c:pt idx="286">
                  <c:v>45594</c:v>
                </c:pt>
                <c:pt idx="287">
                  <c:v>45593</c:v>
                </c:pt>
                <c:pt idx="288">
                  <c:v>45590</c:v>
                </c:pt>
                <c:pt idx="289">
                  <c:v>45589</c:v>
                </c:pt>
                <c:pt idx="290">
                  <c:v>45588</c:v>
                </c:pt>
                <c:pt idx="291">
                  <c:v>45587</c:v>
                </c:pt>
                <c:pt idx="292">
                  <c:v>45586</c:v>
                </c:pt>
                <c:pt idx="293">
                  <c:v>45583</c:v>
                </c:pt>
                <c:pt idx="294">
                  <c:v>45582</c:v>
                </c:pt>
                <c:pt idx="295">
                  <c:v>45581</c:v>
                </c:pt>
                <c:pt idx="296">
                  <c:v>45580</c:v>
                </c:pt>
                <c:pt idx="297">
                  <c:v>45579</c:v>
                </c:pt>
                <c:pt idx="298">
                  <c:v>45576</c:v>
                </c:pt>
                <c:pt idx="299">
                  <c:v>45575</c:v>
                </c:pt>
                <c:pt idx="300">
                  <c:v>45574</c:v>
                </c:pt>
                <c:pt idx="301">
                  <c:v>45573</c:v>
                </c:pt>
                <c:pt idx="302">
                  <c:v>45572</c:v>
                </c:pt>
                <c:pt idx="303">
                  <c:v>45569</c:v>
                </c:pt>
                <c:pt idx="304">
                  <c:v>45568</c:v>
                </c:pt>
                <c:pt idx="305">
                  <c:v>45566</c:v>
                </c:pt>
                <c:pt idx="306">
                  <c:v>45565</c:v>
                </c:pt>
                <c:pt idx="307">
                  <c:v>45562</c:v>
                </c:pt>
                <c:pt idx="308">
                  <c:v>45561</c:v>
                </c:pt>
                <c:pt idx="309">
                  <c:v>45560</c:v>
                </c:pt>
                <c:pt idx="310">
                  <c:v>45559</c:v>
                </c:pt>
                <c:pt idx="311">
                  <c:v>45558</c:v>
                </c:pt>
                <c:pt idx="312">
                  <c:v>45555</c:v>
                </c:pt>
                <c:pt idx="313">
                  <c:v>45554</c:v>
                </c:pt>
                <c:pt idx="314">
                  <c:v>45553</c:v>
                </c:pt>
                <c:pt idx="315">
                  <c:v>45552</c:v>
                </c:pt>
                <c:pt idx="316">
                  <c:v>45551</c:v>
                </c:pt>
                <c:pt idx="317">
                  <c:v>45548</c:v>
                </c:pt>
                <c:pt idx="318">
                  <c:v>45547</c:v>
                </c:pt>
                <c:pt idx="319">
                  <c:v>45546</c:v>
                </c:pt>
                <c:pt idx="320">
                  <c:v>45545</c:v>
                </c:pt>
                <c:pt idx="321">
                  <c:v>45544</c:v>
                </c:pt>
                <c:pt idx="322">
                  <c:v>45541</c:v>
                </c:pt>
                <c:pt idx="323">
                  <c:v>45540</c:v>
                </c:pt>
                <c:pt idx="324">
                  <c:v>45539</c:v>
                </c:pt>
                <c:pt idx="325">
                  <c:v>45538</c:v>
                </c:pt>
                <c:pt idx="326">
                  <c:v>45537</c:v>
                </c:pt>
                <c:pt idx="327">
                  <c:v>45534</c:v>
                </c:pt>
                <c:pt idx="328">
                  <c:v>45533</c:v>
                </c:pt>
                <c:pt idx="329">
                  <c:v>45532</c:v>
                </c:pt>
                <c:pt idx="330">
                  <c:v>45531</c:v>
                </c:pt>
                <c:pt idx="331">
                  <c:v>45530</c:v>
                </c:pt>
                <c:pt idx="332">
                  <c:v>45527</c:v>
                </c:pt>
                <c:pt idx="333">
                  <c:v>45526</c:v>
                </c:pt>
                <c:pt idx="334">
                  <c:v>45525</c:v>
                </c:pt>
                <c:pt idx="335">
                  <c:v>45524</c:v>
                </c:pt>
                <c:pt idx="336">
                  <c:v>45523</c:v>
                </c:pt>
                <c:pt idx="337">
                  <c:v>45520</c:v>
                </c:pt>
                <c:pt idx="338">
                  <c:v>45518</c:v>
                </c:pt>
                <c:pt idx="339">
                  <c:v>45517</c:v>
                </c:pt>
                <c:pt idx="340">
                  <c:v>45516</c:v>
                </c:pt>
                <c:pt idx="341">
                  <c:v>45513</c:v>
                </c:pt>
                <c:pt idx="342">
                  <c:v>45512</c:v>
                </c:pt>
                <c:pt idx="343">
                  <c:v>45511</c:v>
                </c:pt>
                <c:pt idx="344">
                  <c:v>45510</c:v>
                </c:pt>
                <c:pt idx="345">
                  <c:v>45509</c:v>
                </c:pt>
                <c:pt idx="346">
                  <c:v>45506</c:v>
                </c:pt>
                <c:pt idx="347">
                  <c:v>45505</c:v>
                </c:pt>
                <c:pt idx="348">
                  <c:v>45504</c:v>
                </c:pt>
                <c:pt idx="349">
                  <c:v>45503</c:v>
                </c:pt>
                <c:pt idx="350">
                  <c:v>45502</c:v>
                </c:pt>
                <c:pt idx="351">
                  <c:v>45499</c:v>
                </c:pt>
                <c:pt idx="352">
                  <c:v>45498</c:v>
                </c:pt>
                <c:pt idx="353">
                  <c:v>45497</c:v>
                </c:pt>
                <c:pt idx="354">
                  <c:v>45496</c:v>
                </c:pt>
                <c:pt idx="355">
                  <c:v>45495</c:v>
                </c:pt>
                <c:pt idx="356">
                  <c:v>45492</c:v>
                </c:pt>
                <c:pt idx="357">
                  <c:v>45491</c:v>
                </c:pt>
                <c:pt idx="358">
                  <c:v>45489</c:v>
                </c:pt>
                <c:pt idx="359">
                  <c:v>45488</c:v>
                </c:pt>
                <c:pt idx="360">
                  <c:v>45485</c:v>
                </c:pt>
                <c:pt idx="361">
                  <c:v>45484</c:v>
                </c:pt>
                <c:pt idx="362">
                  <c:v>45483</c:v>
                </c:pt>
                <c:pt idx="363">
                  <c:v>45482</c:v>
                </c:pt>
                <c:pt idx="364">
                  <c:v>45481</c:v>
                </c:pt>
                <c:pt idx="365">
                  <c:v>45478</c:v>
                </c:pt>
                <c:pt idx="366">
                  <c:v>45477</c:v>
                </c:pt>
                <c:pt idx="367">
                  <c:v>45476</c:v>
                </c:pt>
                <c:pt idx="368">
                  <c:v>45475</c:v>
                </c:pt>
                <c:pt idx="369">
                  <c:v>45474</c:v>
                </c:pt>
                <c:pt idx="370">
                  <c:v>45471</c:v>
                </c:pt>
                <c:pt idx="371">
                  <c:v>45470</c:v>
                </c:pt>
                <c:pt idx="372">
                  <c:v>45469</c:v>
                </c:pt>
                <c:pt idx="373">
                  <c:v>45468</c:v>
                </c:pt>
                <c:pt idx="374">
                  <c:v>45467</c:v>
                </c:pt>
                <c:pt idx="375">
                  <c:v>45464</c:v>
                </c:pt>
                <c:pt idx="376">
                  <c:v>45463</c:v>
                </c:pt>
                <c:pt idx="377">
                  <c:v>45462</c:v>
                </c:pt>
                <c:pt idx="378">
                  <c:v>45461</c:v>
                </c:pt>
                <c:pt idx="379">
                  <c:v>45457</c:v>
                </c:pt>
                <c:pt idx="380">
                  <c:v>45456</c:v>
                </c:pt>
                <c:pt idx="381">
                  <c:v>45455</c:v>
                </c:pt>
                <c:pt idx="382">
                  <c:v>45454</c:v>
                </c:pt>
                <c:pt idx="383">
                  <c:v>45453</c:v>
                </c:pt>
                <c:pt idx="384">
                  <c:v>45450</c:v>
                </c:pt>
                <c:pt idx="385">
                  <c:v>45449</c:v>
                </c:pt>
                <c:pt idx="386">
                  <c:v>45448</c:v>
                </c:pt>
                <c:pt idx="387">
                  <c:v>45447</c:v>
                </c:pt>
                <c:pt idx="388">
                  <c:v>45446</c:v>
                </c:pt>
                <c:pt idx="389">
                  <c:v>45443</c:v>
                </c:pt>
                <c:pt idx="390">
                  <c:v>45442</c:v>
                </c:pt>
                <c:pt idx="391">
                  <c:v>45441</c:v>
                </c:pt>
                <c:pt idx="392">
                  <c:v>45440</c:v>
                </c:pt>
                <c:pt idx="393">
                  <c:v>45439</c:v>
                </c:pt>
                <c:pt idx="394">
                  <c:v>45436</c:v>
                </c:pt>
                <c:pt idx="395">
                  <c:v>45435</c:v>
                </c:pt>
                <c:pt idx="396">
                  <c:v>45434</c:v>
                </c:pt>
                <c:pt idx="397">
                  <c:v>45433</c:v>
                </c:pt>
                <c:pt idx="398">
                  <c:v>45430</c:v>
                </c:pt>
                <c:pt idx="399">
                  <c:v>45429</c:v>
                </c:pt>
                <c:pt idx="400">
                  <c:v>45428</c:v>
                </c:pt>
                <c:pt idx="401">
                  <c:v>45427</c:v>
                </c:pt>
                <c:pt idx="402">
                  <c:v>45426</c:v>
                </c:pt>
                <c:pt idx="403">
                  <c:v>45425</c:v>
                </c:pt>
                <c:pt idx="404">
                  <c:v>45422</c:v>
                </c:pt>
                <c:pt idx="405">
                  <c:v>45421</c:v>
                </c:pt>
                <c:pt idx="406">
                  <c:v>45420</c:v>
                </c:pt>
                <c:pt idx="407">
                  <c:v>45419</c:v>
                </c:pt>
                <c:pt idx="408">
                  <c:v>45418</c:v>
                </c:pt>
                <c:pt idx="409">
                  <c:v>45415</c:v>
                </c:pt>
                <c:pt idx="410">
                  <c:v>45414</c:v>
                </c:pt>
                <c:pt idx="411">
                  <c:v>45412</c:v>
                </c:pt>
                <c:pt idx="412">
                  <c:v>45411</c:v>
                </c:pt>
                <c:pt idx="413">
                  <c:v>45408</c:v>
                </c:pt>
                <c:pt idx="414">
                  <c:v>45407</c:v>
                </c:pt>
                <c:pt idx="415">
                  <c:v>45406</c:v>
                </c:pt>
                <c:pt idx="416">
                  <c:v>45405</c:v>
                </c:pt>
                <c:pt idx="417">
                  <c:v>45404</c:v>
                </c:pt>
                <c:pt idx="418">
                  <c:v>45401</c:v>
                </c:pt>
                <c:pt idx="419">
                  <c:v>45400</c:v>
                </c:pt>
                <c:pt idx="420">
                  <c:v>45398</c:v>
                </c:pt>
                <c:pt idx="421">
                  <c:v>45397</c:v>
                </c:pt>
                <c:pt idx="422">
                  <c:v>45394</c:v>
                </c:pt>
                <c:pt idx="423">
                  <c:v>45392</c:v>
                </c:pt>
                <c:pt idx="424">
                  <c:v>45391</c:v>
                </c:pt>
                <c:pt idx="425">
                  <c:v>45390</c:v>
                </c:pt>
                <c:pt idx="426">
                  <c:v>45387</c:v>
                </c:pt>
                <c:pt idx="427">
                  <c:v>45386</c:v>
                </c:pt>
                <c:pt idx="428">
                  <c:v>45385</c:v>
                </c:pt>
                <c:pt idx="429">
                  <c:v>45384</c:v>
                </c:pt>
                <c:pt idx="430">
                  <c:v>45383</c:v>
                </c:pt>
                <c:pt idx="431">
                  <c:v>45379</c:v>
                </c:pt>
                <c:pt idx="432">
                  <c:v>45378</c:v>
                </c:pt>
                <c:pt idx="433">
                  <c:v>45377</c:v>
                </c:pt>
                <c:pt idx="434">
                  <c:v>45373</c:v>
                </c:pt>
                <c:pt idx="435">
                  <c:v>45372</c:v>
                </c:pt>
                <c:pt idx="436">
                  <c:v>45371</c:v>
                </c:pt>
                <c:pt idx="437">
                  <c:v>45370</c:v>
                </c:pt>
                <c:pt idx="438">
                  <c:v>45369</c:v>
                </c:pt>
                <c:pt idx="439">
                  <c:v>45366</c:v>
                </c:pt>
                <c:pt idx="440">
                  <c:v>45365</c:v>
                </c:pt>
                <c:pt idx="441">
                  <c:v>45364</c:v>
                </c:pt>
                <c:pt idx="442">
                  <c:v>45363</c:v>
                </c:pt>
                <c:pt idx="443">
                  <c:v>45362</c:v>
                </c:pt>
                <c:pt idx="444">
                  <c:v>45358</c:v>
                </c:pt>
                <c:pt idx="445">
                  <c:v>45357</c:v>
                </c:pt>
                <c:pt idx="446">
                  <c:v>45356</c:v>
                </c:pt>
                <c:pt idx="447">
                  <c:v>45355</c:v>
                </c:pt>
                <c:pt idx="448">
                  <c:v>45353</c:v>
                </c:pt>
                <c:pt idx="449">
                  <c:v>45352</c:v>
                </c:pt>
                <c:pt idx="450">
                  <c:v>45351</c:v>
                </c:pt>
                <c:pt idx="451">
                  <c:v>45350</c:v>
                </c:pt>
                <c:pt idx="452">
                  <c:v>45349</c:v>
                </c:pt>
                <c:pt idx="453">
                  <c:v>45348</c:v>
                </c:pt>
                <c:pt idx="454">
                  <c:v>45345</c:v>
                </c:pt>
                <c:pt idx="455">
                  <c:v>45344</c:v>
                </c:pt>
                <c:pt idx="456">
                  <c:v>45343</c:v>
                </c:pt>
                <c:pt idx="457">
                  <c:v>45342</c:v>
                </c:pt>
                <c:pt idx="458">
                  <c:v>45341</c:v>
                </c:pt>
                <c:pt idx="459">
                  <c:v>45338</c:v>
                </c:pt>
                <c:pt idx="460">
                  <c:v>45337</c:v>
                </c:pt>
                <c:pt idx="461">
                  <c:v>45336</c:v>
                </c:pt>
                <c:pt idx="462">
                  <c:v>45335</c:v>
                </c:pt>
                <c:pt idx="463">
                  <c:v>45334</c:v>
                </c:pt>
                <c:pt idx="464">
                  <c:v>45331</c:v>
                </c:pt>
                <c:pt idx="465">
                  <c:v>45330</c:v>
                </c:pt>
                <c:pt idx="466">
                  <c:v>45329</c:v>
                </c:pt>
                <c:pt idx="467">
                  <c:v>45328</c:v>
                </c:pt>
                <c:pt idx="468">
                  <c:v>45327</c:v>
                </c:pt>
                <c:pt idx="469">
                  <c:v>45324</c:v>
                </c:pt>
                <c:pt idx="470">
                  <c:v>45323</c:v>
                </c:pt>
                <c:pt idx="471">
                  <c:v>45322</c:v>
                </c:pt>
                <c:pt idx="472">
                  <c:v>45321</c:v>
                </c:pt>
                <c:pt idx="473">
                  <c:v>45320</c:v>
                </c:pt>
                <c:pt idx="474">
                  <c:v>45316</c:v>
                </c:pt>
                <c:pt idx="475">
                  <c:v>45315</c:v>
                </c:pt>
                <c:pt idx="476">
                  <c:v>45314</c:v>
                </c:pt>
                <c:pt idx="477">
                  <c:v>45311</c:v>
                </c:pt>
                <c:pt idx="478">
                  <c:v>45310</c:v>
                </c:pt>
                <c:pt idx="479">
                  <c:v>45309</c:v>
                </c:pt>
                <c:pt idx="480">
                  <c:v>45308</c:v>
                </c:pt>
                <c:pt idx="481">
                  <c:v>45307</c:v>
                </c:pt>
                <c:pt idx="482">
                  <c:v>45306</c:v>
                </c:pt>
                <c:pt idx="483">
                  <c:v>45303</c:v>
                </c:pt>
                <c:pt idx="484">
                  <c:v>45302</c:v>
                </c:pt>
                <c:pt idx="485">
                  <c:v>45301</c:v>
                </c:pt>
                <c:pt idx="486">
                  <c:v>45300</c:v>
                </c:pt>
                <c:pt idx="487">
                  <c:v>45299</c:v>
                </c:pt>
                <c:pt idx="488">
                  <c:v>45296</c:v>
                </c:pt>
                <c:pt idx="489">
                  <c:v>45295</c:v>
                </c:pt>
                <c:pt idx="490">
                  <c:v>45294</c:v>
                </c:pt>
                <c:pt idx="491">
                  <c:v>45293</c:v>
                </c:pt>
                <c:pt idx="492">
                  <c:v>45292</c:v>
                </c:pt>
                <c:pt idx="493">
                  <c:v>45289</c:v>
                </c:pt>
                <c:pt idx="494">
                  <c:v>45288</c:v>
                </c:pt>
                <c:pt idx="495">
                  <c:v>45287</c:v>
                </c:pt>
                <c:pt idx="496">
                  <c:v>45286</c:v>
                </c:pt>
                <c:pt idx="497">
                  <c:v>45282</c:v>
                </c:pt>
                <c:pt idx="498">
                  <c:v>45281</c:v>
                </c:pt>
                <c:pt idx="499">
                  <c:v>45280</c:v>
                </c:pt>
                <c:pt idx="500">
                  <c:v>45279</c:v>
                </c:pt>
                <c:pt idx="501">
                  <c:v>45278</c:v>
                </c:pt>
                <c:pt idx="502">
                  <c:v>45275</c:v>
                </c:pt>
                <c:pt idx="503">
                  <c:v>45274</c:v>
                </c:pt>
                <c:pt idx="504">
                  <c:v>45273</c:v>
                </c:pt>
                <c:pt idx="505">
                  <c:v>45272</c:v>
                </c:pt>
                <c:pt idx="506">
                  <c:v>45271</c:v>
                </c:pt>
                <c:pt idx="507">
                  <c:v>45268</c:v>
                </c:pt>
                <c:pt idx="508">
                  <c:v>45267</c:v>
                </c:pt>
                <c:pt idx="509">
                  <c:v>45266</c:v>
                </c:pt>
                <c:pt idx="510">
                  <c:v>45265</c:v>
                </c:pt>
                <c:pt idx="511">
                  <c:v>45264</c:v>
                </c:pt>
                <c:pt idx="512">
                  <c:v>45261</c:v>
                </c:pt>
                <c:pt idx="513">
                  <c:v>45260</c:v>
                </c:pt>
                <c:pt idx="514">
                  <c:v>45259</c:v>
                </c:pt>
                <c:pt idx="515">
                  <c:v>45258</c:v>
                </c:pt>
                <c:pt idx="516">
                  <c:v>45254</c:v>
                </c:pt>
                <c:pt idx="517">
                  <c:v>45253</c:v>
                </c:pt>
                <c:pt idx="518">
                  <c:v>45252</c:v>
                </c:pt>
                <c:pt idx="519">
                  <c:v>45251</c:v>
                </c:pt>
                <c:pt idx="520">
                  <c:v>45250</c:v>
                </c:pt>
                <c:pt idx="521">
                  <c:v>45247</c:v>
                </c:pt>
                <c:pt idx="522">
                  <c:v>45246</c:v>
                </c:pt>
                <c:pt idx="523">
                  <c:v>45245</c:v>
                </c:pt>
                <c:pt idx="524">
                  <c:v>45243</c:v>
                </c:pt>
                <c:pt idx="525">
                  <c:v>45242</c:v>
                </c:pt>
                <c:pt idx="526">
                  <c:v>45240</c:v>
                </c:pt>
                <c:pt idx="527">
                  <c:v>45239</c:v>
                </c:pt>
                <c:pt idx="528">
                  <c:v>45238</c:v>
                </c:pt>
                <c:pt idx="529">
                  <c:v>45237</c:v>
                </c:pt>
                <c:pt idx="530">
                  <c:v>45236</c:v>
                </c:pt>
                <c:pt idx="531">
                  <c:v>45233</c:v>
                </c:pt>
                <c:pt idx="532">
                  <c:v>45232</c:v>
                </c:pt>
                <c:pt idx="533">
                  <c:v>45231</c:v>
                </c:pt>
                <c:pt idx="534">
                  <c:v>45230</c:v>
                </c:pt>
                <c:pt idx="535">
                  <c:v>45229</c:v>
                </c:pt>
                <c:pt idx="536">
                  <c:v>45226</c:v>
                </c:pt>
                <c:pt idx="537">
                  <c:v>45225</c:v>
                </c:pt>
                <c:pt idx="538">
                  <c:v>45224</c:v>
                </c:pt>
                <c:pt idx="539">
                  <c:v>45222</c:v>
                </c:pt>
                <c:pt idx="540">
                  <c:v>45219</c:v>
                </c:pt>
                <c:pt idx="541">
                  <c:v>45218</c:v>
                </c:pt>
                <c:pt idx="542">
                  <c:v>45217</c:v>
                </c:pt>
                <c:pt idx="543">
                  <c:v>45216</c:v>
                </c:pt>
                <c:pt idx="544">
                  <c:v>45215</c:v>
                </c:pt>
                <c:pt idx="545">
                  <c:v>45212</c:v>
                </c:pt>
                <c:pt idx="546">
                  <c:v>45211</c:v>
                </c:pt>
                <c:pt idx="547">
                  <c:v>45210</c:v>
                </c:pt>
                <c:pt idx="548">
                  <c:v>45209</c:v>
                </c:pt>
                <c:pt idx="549">
                  <c:v>45208</c:v>
                </c:pt>
                <c:pt idx="550">
                  <c:v>45205</c:v>
                </c:pt>
                <c:pt idx="551">
                  <c:v>45204</c:v>
                </c:pt>
                <c:pt idx="552">
                  <c:v>45203</c:v>
                </c:pt>
                <c:pt idx="553">
                  <c:v>45202</c:v>
                </c:pt>
                <c:pt idx="554">
                  <c:v>45198</c:v>
                </c:pt>
                <c:pt idx="555">
                  <c:v>45197</c:v>
                </c:pt>
                <c:pt idx="556">
                  <c:v>45196</c:v>
                </c:pt>
                <c:pt idx="557">
                  <c:v>45195</c:v>
                </c:pt>
                <c:pt idx="558">
                  <c:v>45194</c:v>
                </c:pt>
                <c:pt idx="559">
                  <c:v>45191</c:v>
                </c:pt>
                <c:pt idx="560">
                  <c:v>45190</c:v>
                </c:pt>
                <c:pt idx="561">
                  <c:v>45189</c:v>
                </c:pt>
                <c:pt idx="562">
                  <c:v>45187</c:v>
                </c:pt>
                <c:pt idx="563">
                  <c:v>45184</c:v>
                </c:pt>
                <c:pt idx="564">
                  <c:v>45183</c:v>
                </c:pt>
                <c:pt idx="565">
                  <c:v>45182</c:v>
                </c:pt>
                <c:pt idx="566">
                  <c:v>45181</c:v>
                </c:pt>
                <c:pt idx="567">
                  <c:v>45180</c:v>
                </c:pt>
                <c:pt idx="568">
                  <c:v>45177</c:v>
                </c:pt>
                <c:pt idx="569">
                  <c:v>45176</c:v>
                </c:pt>
                <c:pt idx="570">
                  <c:v>45175</c:v>
                </c:pt>
                <c:pt idx="571">
                  <c:v>45174</c:v>
                </c:pt>
                <c:pt idx="572">
                  <c:v>45173</c:v>
                </c:pt>
                <c:pt idx="573">
                  <c:v>45170</c:v>
                </c:pt>
                <c:pt idx="574">
                  <c:v>45169</c:v>
                </c:pt>
                <c:pt idx="575">
                  <c:v>45168</c:v>
                </c:pt>
                <c:pt idx="576">
                  <c:v>45167</c:v>
                </c:pt>
                <c:pt idx="577">
                  <c:v>45166</c:v>
                </c:pt>
                <c:pt idx="578">
                  <c:v>45163</c:v>
                </c:pt>
                <c:pt idx="579">
                  <c:v>45162</c:v>
                </c:pt>
                <c:pt idx="580">
                  <c:v>45161</c:v>
                </c:pt>
                <c:pt idx="581">
                  <c:v>45160</c:v>
                </c:pt>
                <c:pt idx="582">
                  <c:v>45159</c:v>
                </c:pt>
                <c:pt idx="583">
                  <c:v>45156</c:v>
                </c:pt>
                <c:pt idx="584">
                  <c:v>45155</c:v>
                </c:pt>
                <c:pt idx="585">
                  <c:v>45154</c:v>
                </c:pt>
                <c:pt idx="586">
                  <c:v>45152</c:v>
                </c:pt>
                <c:pt idx="587">
                  <c:v>45149</c:v>
                </c:pt>
                <c:pt idx="588">
                  <c:v>45148</c:v>
                </c:pt>
                <c:pt idx="589">
                  <c:v>45147</c:v>
                </c:pt>
                <c:pt idx="590">
                  <c:v>45146</c:v>
                </c:pt>
                <c:pt idx="591">
                  <c:v>45145</c:v>
                </c:pt>
                <c:pt idx="592">
                  <c:v>45142</c:v>
                </c:pt>
                <c:pt idx="593">
                  <c:v>45141</c:v>
                </c:pt>
                <c:pt idx="594">
                  <c:v>45140</c:v>
                </c:pt>
                <c:pt idx="595">
                  <c:v>45139</c:v>
                </c:pt>
                <c:pt idx="596">
                  <c:v>45138</c:v>
                </c:pt>
                <c:pt idx="597">
                  <c:v>45135</c:v>
                </c:pt>
                <c:pt idx="598">
                  <c:v>45134</c:v>
                </c:pt>
                <c:pt idx="599">
                  <c:v>45133</c:v>
                </c:pt>
                <c:pt idx="600">
                  <c:v>45132</c:v>
                </c:pt>
                <c:pt idx="601">
                  <c:v>45131</c:v>
                </c:pt>
                <c:pt idx="602">
                  <c:v>45128</c:v>
                </c:pt>
                <c:pt idx="603">
                  <c:v>45127</c:v>
                </c:pt>
                <c:pt idx="604">
                  <c:v>45126</c:v>
                </c:pt>
                <c:pt idx="605">
                  <c:v>45125</c:v>
                </c:pt>
                <c:pt idx="606">
                  <c:v>45124</c:v>
                </c:pt>
                <c:pt idx="607">
                  <c:v>45121</c:v>
                </c:pt>
                <c:pt idx="608">
                  <c:v>45120</c:v>
                </c:pt>
                <c:pt idx="609">
                  <c:v>45119</c:v>
                </c:pt>
                <c:pt idx="610">
                  <c:v>45118</c:v>
                </c:pt>
                <c:pt idx="611">
                  <c:v>45117</c:v>
                </c:pt>
                <c:pt idx="612">
                  <c:v>45114</c:v>
                </c:pt>
                <c:pt idx="613">
                  <c:v>45113</c:v>
                </c:pt>
                <c:pt idx="614">
                  <c:v>45112</c:v>
                </c:pt>
                <c:pt idx="615">
                  <c:v>45111</c:v>
                </c:pt>
                <c:pt idx="616">
                  <c:v>45110</c:v>
                </c:pt>
                <c:pt idx="617">
                  <c:v>45107</c:v>
                </c:pt>
                <c:pt idx="618">
                  <c:v>45105</c:v>
                </c:pt>
                <c:pt idx="619">
                  <c:v>45104</c:v>
                </c:pt>
                <c:pt idx="620">
                  <c:v>45103</c:v>
                </c:pt>
                <c:pt idx="621">
                  <c:v>45100</c:v>
                </c:pt>
                <c:pt idx="622">
                  <c:v>45099</c:v>
                </c:pt>
                <c:pt idx="623">
                  <c:v>45098</c:v>
                </c:pt>
                <c:pt idx="624">
                  <c:v>45097</c:v>
                </c:pt>
                <c:pt idx="625">
                  <c:v>45096</c:v>
                </c:pt>
                <c:pt idx="626">
                  <c:v>45093</c:v>
                </c:pt>
                <c:pt idx="627">
                  <c:v>45092</c:v>
                </c:pt>
                <c:pt idx="628">
                  <c:v>45091</c:v>
                </c:pt>
                <c:pt idx="629">
                  <c:v>45090</c:v>
                </c:pt>
                <c:pt idx="630">
                  <c:v>45089</c:v>
                </c:pt>
                <c:pt idx="631">
                  <c:v>45086</c:v>
                </c:pt>
                <c:pt idx="632">
                  <c:v>45085</c:v>
                </c:pt>
                <c:pt idx="633">
                  <c:v>45084</c:v>
                </c:pt>
                <c:pt idx="634">
                  <c:v>45083</c:v>
                </c:pt>
                <c:pt idx="635">
                  <c:v>45082</c:v>
                </c:pt>
                <c:pt idx="636">
                  <c:v>45079</c:v>
                </c:pt>
                <c:pt idx="637">
                  <c:v>45078</c:v>
                </c:pt>
                <c:pt idx="638">
                  <c:v>45077</c:v>
                </c:pt>
                <c:pt idx="639">
                  <c:v>45076</c:v>
                </c:pt>
                <c:pt idx="640">
                  <c:v>45075</c:v>
                </c:pt>
                <c:pt idx="641">
                  <c:v>45072</c:v>
                </c:pt>
                <c:pt idx="642">
                  <c:v>45071</c:v>
                </c:pt>
                <c:pt idx="643">
                  <c:v>45070</c:v>
                </c:pt>
                <c:pt idx="644">
                  <c:v>45069</c:v>
                </c:pt>
                <c:pt idx="645">
                  <c:v>45068</c:v>
                </c:pt>
                <c:pt idx="646">
                  <c:v>45065</c:v>
                </c:pt>
                <c:pt idx="647">
                  <c:v>45064</c:v>
                </c:pt>
                <c:pt idx="648">
                  <c:v>45063</c:v>
                </c:pt>
                <c:pt idx="649">
                  <c:v>45062</c:v>
                </c:pt>
                <c:pt idx="650">
                  <c:v>45061</c:v>
                </c:pt>
                <c:pt idx="651">
                  <c:v>45058</c:v>
                </c:pt>
                <c:pt idx="652">
                  <c:v>45057</c:v>
                </c:pt>
                <c:pt idx="653">
                  <c:v>45056</c:v>
                </c:pt>
                <c:pt idx="654">
                  <c:v>45055</c:v>
                </c:pt>
                <c:pt idx="655">
                  <c:v>45054</c:v>
                </c:pt>
                <c:pt idx="656">
                  <c:v>45051</c:v>
                </c:pt>
                <c:pt idx="657">
                  <c:v>45050</c:v>
                </c:pt>
                <c:pt idx="658">
                  <c:v>45049</c:v>
                </c:pt>
                <c:pt idx="659">
                  <c:v>45048</c:v>
                </c:pt>
                <c:pt idx="660">
                  <c:v>45044</c:v>
                </c:pt>
                <c:pt idx="661">
                  <c:v>45043</c:v>
                </c:pt>
                <c:pt idx="662">
                  <c:v>45042</c:v>
                </c:pt>
                <c:pt idx="663">
                  <c:v>45041</c:v>
                </c:pt>
                <c:pt idx="664">
                  <c:v>45040</c:v>
                </c:pt>
                <c:pt idx="665">
                  <c:v>45037</c:v>
                </c:pt>
                <c:pt idx="666">
                  <c:v>45036</c:v>
                </c:pt>
                <c:pt idx="667">
                  <c:v>45035</c:v>
                </c:pt>
                <c:pt idx="668">
                  <c:v>45034</c:v>
                </c:pt>
                <c:pt idx="669">
                  <c:v>45033</c:v>
                </c:pt>
                <c:pt idx="670">
                  <c:v>45029</c:v>
                </c:pt>
                <c:pt idx="671">
                  <c:v>45028</c:v>
                </c:pt>
                <c:pt idx="672">
                  <c:v>45027</c:v>
                </c:pt>
                <c:pt idx="673">
                  <c:v>45026</c:v>
                </c:pt>
                <c:pt idx="674">
                  <c:v>45022</c:v>
                </c:pt>
                <c:pt idx="675">
                  <c:v>45021</c:v>
                </c:pt>
                <c:pt idx="676">
                  <c:v>45019</c:v>
                </c:pt>
                <c:pt idx="677">
                  <c:v>45016</c:v>
                </c:pt>
                <c:pt idx="678">
                  <c:v>45014</c:v>
                </c:pt>
                <c:pt idx="679">
                  <c:v>45013</c:v>
                </c:pt>
                <c:pt idx="680">
                  <c:v>45012</c:v>
                </c:pt>
                <c:pt idx="681">
                  <c:v>45009</c:v>
                </c:pt>
                <c:pt idx="682">
                  <c:v>45008</c:v>
                </c:pt>
                <c:pt idx="683">
                  <c:v>45007</c:v>
                </c:pt>
                <c:pt idx="684">
                  <c:v>45006</c:v>
                </c:pt>
                <c:pt idx="685">
                  <c:v>45005</c:v>
                </c:pt>
                <c:pt idx="686">
                  <c:v>45002</c:v>
                </c:pt>
                <c:pt idx="687">
                  <c:v>45001</c:v>
                </c:pt>
                <c:pt idx="688">
                  <c:v>45000</c:v>
                </c:pt>
                <c:pt idx="689">
                  <c:v>44999</c:v>
                </c:pt>
                <c:pt idx="690">
                  <c:v>44998</c:v>
                </c:pt>
                <c:pt idx="691">
                  <c:v>44995</c:v>
                </c:pt>
                <c:pt idx="692">
                  <c:v>44994</c:v>
                </c:pt>
                <c:pt idx="693">
                  <c:v>44993</c:v>
                </c:pt>
                <c:pt idx="694">
                  <c:v>44991</c:v>
                </c:pt>
                <c:pt idx="695">
                  <c:v>44988</c:v>
                </c:pt>
                <c:pt idx="696">
                  <c:v>44987</c:v>
                </c:pt>
                <c:pt idx="697">
                  <c:v>44986</c:v>
                </c:pt>
                <c:pt idx="698">
                  <c:v>44985</c:v>
                </c:pt>
                <c:pt idx="699">
                  <c:v>44984</c:v>
                </c:pt>
                <c:pt idx="700">
                  <c:v>44981</c:v>
                </c:pt>
                <c:pt idx="701">
                  <c:v>44980</c:v>
                </c:pt>
                <c:pt idx="702">
                  <c:v>44979</c:v>
                </c:pt>
                <c:pt idx="703">
                  <c:v>44978</c:v>
                </c:pt>
                <c:pt idx="704">
                  <c:v>44977</c:v>
                </c:pt>
                <c:pt idx="705">
                  <c:v>44974</c:v>
                </c:pt>
                <c:pt idx="706">
                  <c:v>44973</c:v>
                </c:pt>
                <c:pt idx="707">
                  <c:v>44972</c:v>
                </c:pt>
                <c:pt idx="708">
                  <c:v>44971</c:v>
                </c:pt>
                <c:pt idx="709">
                  <c:v>44970</c:v>
                </c:pt>
                <c:pt idx="710">
                  <c:v>44967</c:v>
                </c:pt>
                <c:pt idx="711">
                  <c:v>44966</c:v>
                </c:pt>
                <c:pt idx="712">
                  <c:v>44965</c:v>
                </c:pt>
                <c:pt idx="713">
                  <c:v>44964</c:v>
                </c:pt>
                <c:pt idx="714">
                  <c:v>44963</c:v>
                </c:pt>
                <c:pt idx="715">
                  <c:v>44960</c:v>
                </c:pt>
                <c:pt idx="716">
                  <c:v>44959</c:v>
                </c:pt>
                <c:pt idx="717">
                  <c:v>44958</c:v>
                </c:pt>
                <c:pt idx="718">
                  <c:v>44957</c:v>
                </c:pt>
                <c:pt idx="719">
                  <c:v>44956</c:v>
                </c:pt>
                <c:pt idx="720">
                  <c:v>44953</c:v>
                </c:pt>
                <c:pt idx="721">
                  <c:v>44951</c:v>
                </c:pt>
                <c:pt idx="722">
                  <c:v>44950</c:v>
                </c:pt>
                <c:pt idx="723">
                  <c:v>44949</c:v>
                </c:pt>
                <c:pt idx="724">
                  <c:v>44946</c:v>
                </c:pt>
                <c:pt idx="725">
                  <c:v>44945</c:v>
                </c:pt>
                <c:pt idx="726">
                  <c:v>44944</c:v>
                </c:pt>
                <c:pt idx="727">
                  <c:v>44943</c:v>
                </c:pt>
                <c:pt idx="728">
                  <c:v>44942</c:v>
                </c:pt>
                <c:pt idx="729">
                  <c:v>44939</c:v>
                </c:pt>
                <c:pt idx="730">
                  <c:v>44938</c:v>
                </c:pt>
                <c:pt idx="731">
                  <c:v>44937</c:v>
                </c:pt>
                <c:pt idx="732">
                  <c:v>44936</c:v>
                </c:pt>
                <c:pt idx="733">
                  <c:v>44935</c:v>
                </c:pt>
                <c:pt idx="734">
                  <c:v>44932</c:v>
                </c:pt>
                <c:pt idx="735">
                  <c:v>44931</c:v>
                </c:pt>
                <c:pt idx="736">
                  <c:v>44930</c:v>
                </c:pt>
                <c:pt idx="737">
                  <c:v>44929</c:v>
                </c:pt>
                <c:pt idx="738">
                  <c:v>44928</c:v>
                </c:pt>
                <c:pt idx="739">
                  <c:v>44925</c:v>
                </c:pt>
                <c:pt idx="740">
                  <c:v>44924</c:v>
                </c:pt>
                <c:pt idx="741">
                  <c:v>44923</c:v>
                </c:pt>
                <c:pt idx="742">
                  <c:v>44922</c:v>
                </c:pt>
                <c:pt idx="743">
                  <c:v>44921</c:v>
                </c:pt>
                <c:pt idx="744">
                  <c:v>44918</c:v>
                </c:pt>
                <c:pt idx="745">
                  <c:v>44917</c:v>
                </c:pt>
                <c:pt idx="746">
                  <c:v>44916</c:v>
                </c:pt>
                <c:pt idx="747">
                  <c:v>44915</c:v>
                </c:pt>
                <c:pt idx="748">
                  <c:v>44914</c:v>
                </c:pt>
                <c:pt idx="749">
                  <c:v>44911</c:v>
                </c:pt>
                <c:pt idx="750">
                  <c:v>44910</c:v>
                </c:pt>
                <c:pt idx="751">
                  <c:v>44909</c:v>
                </c:pt>
                <c:pt idx="752">
                  <c:v>44908</c:v>
                </c:pt>
                <c:pt idx="753">
                  <c:v>44907</c:v>
                </c:pt>
                <c:pt idx="754">
                  <c:v>44904</c:v>
                </c:pt>
                <c:pt idx="755">
                  <c:v>44903</c:v>
                </c:pt>
                <c:pt idx="756">
                  <c:v>44902</c:v>
                </c:pt>
                <c:pt idx="757">
                  <c:v>44901</c:v>
                </c:pt>
                <c:pt idx="758">
                  <c:v>44900</c:v>
                </c:pt>
                <c:pt idx="759">
                  <c:v>44897</c:v>
                </c:pt>
                <c:pt idx="760">
                  <c:v>44896</c:v>
                </c:pt>
                <c:pt idx="761">
                  <c:v>44895</c:v>
                </c:pt>
                <c:pt idx="762">
                  <c:v>44894</c:v>
                </c:pt>
                <c:pt idx="763">
                  <c:v>44893</c:v>
                </c:pt>
                <c:pt idx="764">
                  <c:v>44890</c:v>
                </c:pt>
                <c:pt idx="765">
                  <c:v>44889</c:v>
                </c:pt>
                <c:pt idx="766">
                  <c:v>44888</c:v>
                </c:pt>
                <c:pt idx="767">
                  <c:v>44887</c:v>
                </c:pt>
                <c:pt idx="768">
                  <c:v>44886</c:v>
                </c:pt>
                <c:pt idx="769">
                  <c:v>44883</c:v>
                </c:pt>
                <c:pt idx="770">
                  <c:v>44882</c:v>
                </c:pt>
                <c:pt idx="771">
                  <c:v>44881</c:v>
                </c:pt>
                <c:pt idx="772">
                  <c:v>44880</c:v>
                </c:pt>
                <c:pt idx="773">
                  <c:v>44879</c:v>
                </c:pt>
                <c:pt idx="774">
                  <c:v>44876</c:v>
                </c:pt>
                <c:pt idx="775">
                  <c:v>44875</c:v>
                </c:pt>
                <c:pt idx="776">
                  <c:v>44874</c:v>
                </c:pt>
                <c:pt idx="777">
                  <c:v>44872</c:v>
                </c:pt>
                <c:pt idx="778">
                  <c:v>44869</c:v>
                </c:pt>
                <c:pt idx="779">
                  <c:v>44868</c:v>
                </c:pt>
                <c:pt idx="780">
                  <c:v>44867</c:v>
                </c:pt>
                <c:pt idx="781">
                  <c:v>44866</c:v>
                </c:pt>
                <c:pt idx="782">
                  <c:v>44865</c:v>
                </c:pt>
                <c:pt idx="783">
                  <c:v>44862</c:v>
                </c:pt>
                <c:pt idx="784">
                  <c:v>44861</c:v>
                </c:pt>
                <c:pt idx="785">
                  <c:v>44859</c:v>
                </c:pt>
                <c:pt idx="786">
                  <c:v>44858</c:v>
                </c:pt>
                <c:pt idx="787">
                  <c:v>44855</c:v>
                </c:pt>
                <c:pt idx="788">
                  <c:v>44854</c:v>
                </c:pt>
                <c:pt idx="789">
                  <c:v>44853</c:v>
                </c:pt>
                <c:pt idx="790">
                  <c:v>44852</c:v>
                </c:pt>
                <c:pt idx="791">
                  <c:v>44851</c:v>
                </c:pt>
                <c:pt idx="792">
                  <c:v>44848</c:v>
                </c:pt>
                <c:pt idx="793">
                  <c:v>44847</c:v>
                </c:pt>
                <c:pt idx="794">
                  <c:v>44846</c:v>
                </c:pt>
                <c:pt idx="795">
                  <c:v>44845</c:v>
                </c:pt>
                <c:pt idx="796">
                  <c:v>44844</c:v>
                </c:pt>
                <c:pt idx="797">
                  <c:v>44841</c:v>
                </c:pt>
                <c:pt idx="798">
                  <c:v>44840</c:v>
                </c:pt>
                <c:pt idx="799">
                  <c:v>44838</c:v>
                </c:pt>
                <c:pt idx="800">
                  <c:v>44837</c:v>
                </c:pt>
                <c:pt idx="801">
                  <c:v>44834</c:v>
                </c:pt>
                <c:pt idx="802">
                  <c:v>44833</c:v>
                </c:pt>
                <c:pt idx="803">
                  <c:v>44832</c:v>
                </c:pt>
                <c:pt idx="804">
                  <c:v>44831</c:v>
                </c:pt>
                <c:pt idx="805">
                  <c:v>44830</c:v>
                </c:pt>
                <c:pt idx="806">
                  <c:v>44827</c:v>
                </c:pt>
                <c:pt idx="807">
                  <c:v>44826</c:v>
                </c:pt>
                <c:pt idx="808">
                  <c:v>44825</c:v>
                </c:pt>
                <c:pt idx="809">
                  <c:v>44824</c:v>
                </c:pt>
                <c:pt idx="810">
                  <c:v>44823</c:v>
                </c:pt>
                <c:pt idx="811">
                  <c:v>44820</c:v>
                </c:pt>
                <c:pt idx="812">
                  <c:v>44819</c:v>
                </c:pt>
                <c:pt idx="813">
                  <c:v>44818</c:v>
                </c:pt>
                <c:pt idx="814">
                  <c:v>44817</c:v>
                </c:pt>
                <c:pt idx="815">
                  <c:v>44816</c:v>
                </c:pt>
                <c:pt idx="816">
                  <c:v>44813</c:v>
                </c:pt>
                <c:pt idx="817">
                  <c:v>44812</c:v>
                </c:pt>
                <c:pt idx="818">
                  <c:v>44811</c:v>
                </c:pt>
                <c:pt idx="819">
                  <c:v>44810</c:v>
                </c:pt>
                <c:pt idx="820">
                  <c:v>44809</c:v>
                </c:pt>
                <c:pt idx="821">
                  <c:v>44806</c:v>
                </c:pt>
                <c:pt idx="822">
                  <c:v>44805</c:v>
                </c:pt>
                <c:pt idx="823">
                  <c:v>44803</c:v>
                </c:pt>
                <c:pt idx="824">
                  <c:v>44802</c:v>
                </c:pt>
                <c:pt idx="825">
                  <c:v>44799</c:v>
                </c:pt>
                <c:pt idx="826">
                  <c:v>44798</c:v>
                </c:pt>
                <c:pt idx="827">
                  <c:v>44797</c:v>
                </c:pt>
                <c:pt idx="828">
                  <c:v>44796</c:v>
                </c:pt>
                <c:pt idx="829">
                  <c:v>44795</c:v>
                </c:pt>
                <c:pt idx="830">
                  <c:v>44792</c:v>
                </c:pt>
                <c:pt idx="831">
                  <c:v>44791</c:v>
                </c:pt>
                <c:pt idx="832">
                  <c:v>44790</c:v>
                </c:pt>
                <c:pt idx="833">
                  <c:v>44789</c:v>
                </c:pt>
                <c:pt idx="834">
                  <c:v>44785</c:v>
                </c:pt>
                <c:pt idx="835">
                  <c:v>44784</c:v>
                </c:pt>
                <c:pt idx="836">
                  <c:v>44783</c:v>
                </c:pt>
                <c:pt idx="837">
                  <c:v>44781</c:v>
                </c:pt>
                <c:pt idx="838">
                  <c:v>44778</c:v>
                </c:pt>
                <c:pt idx="839">
                  <c:v>44777</c:v>
                </c:pt>
                <c:pt idx="840">
                  <c:v>44776</c:v>
                </c:pt>
                <c:pt idx="841">
                  <c:v>44775</c:v>
                </c:pt>
                <c:pt idx="842">
                  <c:v>44774</c:v>
                </c:pt>
                <c:pt idx="843">
                  <c:v>44771</c:v>
                </c:pt>
                <c:pt idx="844">
                  <c:v>44770</c:v>
                </c:pt>
                <c:pt idx="845">
                  <c:v>44769</c:v>
                </c:pt>
                <c:pt idx="846">
                  <c:v>44768</c:v>
                </c:pt>
                <c:pt idx="847">
                  <c:v>44767</c:v>
                </c:pt>
                <c:pt idx="848">
                  <c:v>44764</c:v>
                </c:pt>
                <c:pt idx="849">
                  <c:v>44763</c:v>
                </c:pt>
                <c:pt idx="850">
                  <c:v>44762</c:v>
                </c:pt>
                <c:pt idx="851">
                  <c:v>44761</c:v>
                </c:pt>
                <c:pt idx="852">
                  <c:v>44760</c:v>
                </c:pt>
                <c:pt idx="853">
                  <c:v>44757</c:v>
                </c:pt>
                <c:pt idx="854">
                  <c:v>44756</c:v>
                </c:pt>
                <c:pt idx="855">
                  <c:v>44755</c:v>
                </c:pt>
                <c:pt idx="856">
                  <c:v>44754</c:v>
                </c:pt>
                <c:pt idx="857">
                  <c:v>44753</c:v>
                </c:pt>
                <c:pt idx="858">
                  <c:v>44750</c:v>
                </c:pt>
                <c:pt idx="859">
                  <c:v>44749</c:v>
                </c:pt>
                <c:pt idx="860">
                  <c:v>44748</c:v>
                </c:pt>
                <c:pt idx="861">
                  <c:v>44747</c:v>
                </c:pt>
                <c:pt idx="862">
                  <c:v>44746</c:v>
                </c:pt>
                <c:pt idx="863">
                  <c:v>44743</c:v>
                </c:pt>
                <c:pt idx="864">
                  <c:v>44742</c:v>
                </c:pt>
                <c:pt idx="865">
                  <c:v>44741</c:v>
                </c:pt>
                <c:pt idx="866">
                  <c:v>44740</c:v>
                </c:pt>
                <c:pt idx="867">
                  <c:v>44739</c:v>
                </c:pt>
                <c:pt idx="868">
                  <c:v>44736</c:v>
                </c:pt>
                <c:pt idx="869">
                  <c:v>44735</c:v>
                </c:pt>
                <c:pt idx="870">
                  <c:v>44734</c:v>
                </c:pt>
                <c:pt idx="871">
                  <c:v>44733</c:v>
                </c:pt>
                <c:pt idx="872">
                  <c:v>44732</c:v>
                </c:pt>
                <c:pt idx="873">
                  <c:v>44729</c:v>
                </c:pt>
                <c:pt idx="874">
                  <c:v>44728</c:v>
                </c:pt>
                <c:pt idx="875">
                  <c:v>44727</c:v>
                </c:pt>
                <c:pt idx="876">
                  <c:v>44726</c:v>
                </c:pt>
                <c:pt idx="877">
                  <c:v>44725</c:v>
                </c:pt>
                <c:pt idx="878">
                  <c:v>44722</c:v>
                </c:pt>
                <c:pt idx="879">
                  <c:v>44721</c:v>
                </c:pt>
                <c:pt idx="880">
                  <c:v>44720</c:v>
                </c:pt>
                <c:pt idx="881">
                  <c:v>44719</c:v>
                </c:pt>
                <c:pt idx="882">
                  <c:v>44718</c:v>
                </c:pt>
                <c:pt idx="883">
                  <c:v>44715</c:v>
                </c:pt>
                <c:pt idx="884">
                  <c:v>44714</c:v>
                </c:pt>
                <c:pt idx="885">
                  <c:v>44713</c:v>
                </c:pt>
                <c:pt idx="886">
                  <c:v>44712</c:v>
                </c:pt>
                <c:pt idx="887">
                  <c:v>44711</c:v>
                </c:pt>
                <c:pt idx="888">
                  <c:v>44708</c:v>
                </c:pt>
                <c:pt idx="889">
                  <c:v>44707</c:v>
                </c:pt>
                <c:pt idx="890">
                  <c:v>44706</c:v>
                </c:pt>
                <c:pt idx="891">
                  <c:v>44705</c:v>
                </c:pt>
                <c:pt idx="892">
                  <c:v>44704</c:v>
                </c:pt>
                <c:pt idx="893">
                  <c:v>44701</c:v>
                </c:pt>
                <c:pt idx="894">
                  <c:v>44700</c:v>
                </c:pt>
                <c:pt idx="895">
                  <c:v>44699</c:v>
                </c:pt>
                <c:pt idx="896">
                  <c:v>44698</c:v>
                </c:pt>
                <c:pt idx="897">
                  <c:v>44697</c:v>
                </c:pt>
                <c:pt idx="898">
                  <c:v>44694</c:v>
                </c:pt>
                <c:pt idx="899">
                  <c:v>44693</c:v>
                </c:pt>
                <c:pt idx="900">
                  <c:v>44692</c:v>
                </c:pt>
                <c:pt idx="901">
                  <c:v>44691</c:v>
                </c:pt>
                <c:pt idx="902">
                  <c:v>44690</c:v>
                </c:pt>
                <c:pt idx="903">
                  <c:v>44687</c:v>
                </c:pt>
                <c:pt idx="904">
                  <c:v>44686</c:v>
                </c:pt>
                <c:pt idx="905">
                  <c:v>44685</c:v>
                </c:pt>
                <c:pt idx="906">
                  <c:v>44683</c:v>
                </c:pt>
                <c:pt idx="907">
                  <c:v>44680</c:v>
                </c:pt>
                <c:pt idx="908">
                  <c:v>44679</c:v>
                </c:pt>
                <c:pt idx="909">
                  <c:v>44678</c:v>
                </c:pt>
                <c:pt idx="910">
                  <c:v>44677</c:v>
                </c:pt>
                <c:pt idx="911">
                  <c:v>44676</c:v>
                </c:pt>
                <c:pt idx="912">
                  <c:v>44673</c:v>
                </c:pt>
                <c:pt idx="913">
                  <c:v>44672</c:v>
                </c:pt>
                <c:pt idx="914">
                  <c:v>44671</c:v>
                </c:pt>
                <c:pt idx="915">
                  <c:v>44670</c:v>
                </c:pt>
                <c:pt idx="916">
                  <c:v>44669</c:v>
                </c:pt>
                <c:pt idx="917">
                  <c:v>44664</c:v>
                </c:pt>
                <c:pt idx="918">
                  <c:v>44663</c:v>
                </c:pt>
                <c:pt idx="919">
                  <c:v>44662</c:v>
                </c:pt>
                <c:pt idx="920">
                  <c:v>44659</c:v>
                </c:pt>
                <c:pt idx="921">
                  <c:v>44658</c:v>
                </c:pt>
                <c:pt idx="922">
                  <c:v>44657</c:v>
                </c:pt>
                <c:pt idx="923">
                  <c:v>44656</c:v>
                </c:pt>
                <c:pt idx="924">
                  <c:v>44655</c:v>
                </c:pt>
                <c:pt idx="925">
                  <c:v>44652</c:v>
                </c:pt>
                <c:pt idx="926">
                  <c:v>44651</c:v>
                </c:pt>
                <c:pt idx="927">
                  <c:v>44650</c:v>
                </c:pt>
                <c:pt idx="928">
                  <c:v>44649</c:v>
                </c:pt>
                <c:pt idx="929">
                  <c:v>44648</c:v>
                </c:pt>
                <c:pt idx="930">
                  <c:v>44645</c:v>
                </c:pt>
                <c:pt idx="931">
                  <c:v>44644</c:v>
                </c:pt>
                <c:pt idx="932">
                  <c:v>44643</c:v>
                </c:pt>
                <c:pt idx="933">
                  <c:v>44642</c:v>
                </c:pt>
                <c:pt idx="934">
                  <c:v>44641</c:v>
                </c:pt>
                <c:pt idx="935">
                  <c:v>44637</c:v>
                </c:pt>
                <c:pt idx="936">
                  <c:v>44636</c:v>
                </c:pt>
                <c:pt idx="937">
                  <c:v>44635</c:v>
                </c:pt>
                <c:pt idx="938">
                  <c:v>44634</c:v>
                </c:pt>
                <c:pt idx="939">
                  <c:v>44631</c:v>
                </c:pt>
                <c:pt idx="940">
                  <c:v>44630</c:v>
                </c:pt>
                <c:pt idx="941">
                  <c:v>44629</c:v>
                </c:pt>
                <c:pt idx="942">
                  <c:v>44628</c:v>
                </c:pt>
                <c:pt idx="943">
                  <c:v>44627</c:v>
                </c:pt>
                <c:pt idx="944">
                  <c:v>44624</c:v>
                </c:pt>
                <c:pt idx="945">
                  <c:v>44623</c:v>
                </c:pt>
                <c:pt idx="946">
                  <c:v>44622</c:v>
                </c:pt>
                <c:pt idx="947">
                  <c:v>44620</c:v>
                </c:pt>
                <c:pt idx="948">
                  <c:v>44617</c:v>
                </c:pt>
                <c:pt idx="949">
                  <c:v>44616</c:v>
                </c:pt>
                <c:pt idx="950">
                  <c:v>44615</c:v>
                </c:pt>
                <c:pt idx="951">
                  <c:v>44614</c:v>
                </c:pt>
                <c:pt idx="952">
                  <c:v>44613</c:v>
                </c:pt>
                <c:pt idx="953">
                  <c:v>44610</c:v>
                </c:pt>
                <c:pt idx="954">
                  <c:v>44609</c:v>
                </c:pt>
                <c:pt idx="955">
                  <c:v>44608</c:v>
                </c:pt>
                <c:pt idx="956">
                  <c:v>44607</c:v>
                </c:pt>
                <c:pt idx="957">
                  <c:v>44606</c:v>
                </c:pt>
                <c:pt idx="958">
                  <c:v>44603</c:v>
                </c:pt>
                <c:pt idx="959">
                  <c:v>44602</c:v>
                </c:pt>
                <c:pt idx="960">
                  <c:v>44601</c:v>
                </c:pt>
                <c:pt idx="961">
                  <c:v>44600</c:v>
                </c:pt>
                <c:pt idx="962">
                  <c:v>44599</c:v>
                </c:pt>
                <c:pt idx="963">
                  <c:v>44596</c:v>
                </c:pt>
                <c:pt idx="964">
                  <c:v>44595</c:v>
                </c:pt>
                <c:pt idx="965">
                  <c:v>44594</c:v>
                </c:pt>
                <c:pt idx="966">
                  <c:v>44593</c:v>
                </c:pt>
                <c:pt idx="967">
                  <c:v>44592</c:v>
                </c:pt>
                <c:pt idx="968">
                  <c:v>44589</c:v>
                </c:pt>
                <c:pt idx="969">
                  <c:v>44588</c:v>
                </c:pt>
                <c:pt idx="970">
                  <c:v>44586</c:v>
                </c:pt>
                <c:pt idx="971">
                  <c:v>44585</c:v>
                </c:pt>
                <c:pt idx="972">
                  <c:v>44582</c:v>
                </c:pt>
                <c:pt idx="973">
                  <c:v>44581</c:v>
                </c:pt>
                <c:pt idx="974">
                  <c:v>44580</c:v>
                </c:pt>
                <c:pt idx="975">
                  <c:v>44579</c:v>
                </c:pt>
                <c:pt idx="976">
                  <c:v>44578</c:v>
                </c:pt>
                <c:pt idx="977">
                  <c:v>44575</c:v>
                </c:pt>
                <c:pt idx="978">
                  <c:v>44574</c:v>
                </c:pt>
                <c:pt idx="979">
                  <c:v>44573</c:v>
                </c:pt>
                <c:pt idx="980">
                  <c:v>44572</c:v>
                </c:pt>
                <c:pt idx="981">
                  <c:v>44571</c:v>
                </c:pt>
                <c:pt idx="982">
                  <c:v>44568</c:v>
                </c:pt>
                <c:pt idx="983">
                  <c:v>44567</c:v>
                </c:pt>
                <c:pt idx="984">
                  <c:v>44566</c:v>
                </c:pt>
                <c:pt idx="985">
                  <c:v>44565</c:v>
                </c:pt>
                <c:pt idx="986">
                  <c:v>44564</c:v>
                </c:pt>
                <c:pt idx="987">
                  <c:v>44561</c:v>
                </c:pt>
                <c:pt idx="988">
                  <c:v>44560</c:v>
                </c:pt>
                <c:pt idx="989">
                  <c:v>44559</c:v>
                </c:pt>
                <c:pt idx="990">
                  <c:v>44558</c:v>
                </c:pt>
                <c:pt idx="991">
                  <c:v>44557</c:v>
                </c:pt>
                <c:pt idx="992">
                  <c:v>44554</c:v>
                </c:pt>
                <c:pt idx="993">
                  <c:v>44553</c:v>
                </c:pt>
                <c:pt idx="994">
                  <c:v>44552</c:v>
                </c:pt>
                <c:pt idx="995">
                  <c:v>44551</c:v>
                </c:pt>
                <c:pt idx="996">
                  <c:v>44550</c:v>
                </c:pt>
                <c:pt idx="997">
                  <c:v>44547</c:v>
                </c:pt>
                <c:pt idx="998">
                  <c:v>44546</c:v>
                </c:pt>
                <c:pt idx="999">
                  <c:v>44545</c:v>
                </c:pt>
                <c:pt idx="1000">
                  <c:v>44544</c:v>
                </c:pt>
                <c:pt idx="1001">
                  <c:v>44543</c:v>
                </c:pt>
                <c:pt idx="1002">
                  <c:v>44540</c:v>
                </c:pt>
                <c:pt idx="1003">
                  <c:v>44539</c:v>
                </c:pt>
                <c:pt idx="1004">
                  <c:v>44538</c:v>
                </c:pt>
                <c:pt idx="1005">
                  <c:v>44537</c:v>
                </c:pt>
                <c:pt idx="1006">
                  <c:v>44536</c:v>
                </c:pt>
                <c:pt idx="1007">
                  <c:v>44533</c:v>
                </c:pt>
                <c:pt idx="1008">
                  <c:v>44532</c:v>
                </c:pt>
                <c:pt idx="1009">
                  <c:v>44531</c:v>
                </c:pt>
                <c:pt idx="1010">
                  <c:v>44530</c:v>
                </c:pt>
                <c:pt idx="1011">
                  <c:v>44529</c:v>
                </c:pt>
                <c:pt idx="1012">
                  <c:v>44526</c:v>
                </c:pt>
                <c:pt idx="1013">
                  <c:v>44525</c:v>
                </c:pt>
                <c:pt idx="1014">
                  <c:v>44524</c:v>
                </c:pt>
                <c:pt idx="1015">
                  <c:v>44523</c:v>
                </c:pt>
                <c:pt idx="1016">
                  <c:v>44522</c:v>
                </c:pt>
                <c:pt idx="1017">
                  <c:v>44518</c:v>
                </c:pt>
                <c:pt idx="1018">
                  <c:v>44517</c:v>
                </c:pt>
                <c:pt idx="1019">
                  <c:v>44516</c:v>
                </c:pt>
                <c:pt idx="1020">
                  <c:v>44515</c:v>
                </c:pt>
                <c:pt idx="1021">
                  <c:v>44512</c:v>
                </c:pt>
                <c:pt idx="1022">
                  <c:v>44511</c:v>
                </c:pt>
                <c:pt idx="1023">
                  <c:v>44510</c:v>
                </c:pt>
                <c:pt idx="1024">
                  <c:v>44509</c:v>
                </c:pt>
                <c:pt idx="1025">
                  <c:v>44508</c:v>
                </c:pt>
                <c:pt idx="1026">
                  <c:v>44504</c:v>
                </c:pt>
                <c:pt idx="1027">
                  <c:v>44503</c:v>
                </c:pt>
                <c:pt idx="1028">
                  <c:v>44502</c:v>
                </c:pt>
                <c:pt idx="1029">
                  <c:v>44501</c:v>
                </c:pt>
                <c:pt idx="1030">
                  <c:v>44498</c:v>
                </c:pt>
                <c:pt idx="1031">
                  <c:v>44497</c:v>
                </c:pt>
                <c:pt idx="1032">
                  <c:v>44496</c:v>
                </c:pt>
                <c:pt idx="1033">
                  <c:v>44495</c:v>
                </c:pt>
                <c:pt idx="1034">
                  <c:v>44494</c:v>
                </c:pt>
                <c:pt idx="1035">
                  <c:v>44491</c:v>
                </c:pt>
                <c:pt idx="1036">
                  <c:v>44490</c:v>
                </c:pt>
                <c:pt idx="1037">
                  <c:v>44489</c:v>
                </c:pt>
                <c:pt idx="1038">
                  <c:v>44488</c:v>
                </c:pt>
                <c:pt idx="1039">
                  <c:v>44487</c:v>
                </c:pt>
                <c:pt idx="1040">
                  <c:v>44483</c:v>
                </c:pt>
                <c:pt idx="1041">
                  <c:v>44482</c:v>
                </c:pt>
                <c:pt idx="1042">
                  <c:v>44481</c:v>
                </c:pt>
                <c:pt idx="1043">
                  <c:v>44480</c:v>
                </c:pt>
                <c:pt idx="1044">
                  <c:v>44477</c:v>
                </c:pt>
                <c:pt idx="1045">
                  <c:v>44476</c:v>
                </c:pt>
                <c:pt idx="1046">
                  <c:v>44475</c:v>
                </c:pt>
                <c:pt idx="1047">
                  <c:v>44474</c:v>
                </c:pt>
                <c:pt idx="1048">
                  <c:v>44473</c:v>
                </c:pt>
                <c:pt idx="1049">
                  <c:v>44470</c:v>
                </c:pt>
                <c:pt idx="1050">
                  <c:v>44469</c:v>
                </c:pt>
                <c:pt idx="1051">
                  <c:v>44468</c:v>
                </c:pt>
                <c:pt idx="1052">
                  <c:v>44467</c:v>
                </c:pt>
                <c:pt idx="1053">
                  <c:v>44466</c:v>
                </c:pt>
                <c:pt idx="1054">
                  <c:v>44463</c:v>
                </c:pt>
                <c:pt idx="1055">
                  <c:v>44462</c:v>
                </c:pt>
                <c:pt idx="1056">
                  <c:v>44461</c:v>
                </c:pt>
                <c:pt idx="1057">
                  <c:v>44460</c:v>
                </c:pt>
                <c:pt idx="1058">
                  <c:v>44459</c:v>
                </c:pt>
                <c:pt idx="1059">
                  <c:v>44456</c:v>
                </c:pt>
                <c:pt idx="1060">
                  <c:v>44455</c:v>
                </c:pt>
                <c:pt idx="1061">
                  <c:v>44454</c:v>
                </c:pt>
                <c:pt idx="1062">
                  <c:v>44453</c:v>
                </c:pt>
                <c:pt idx="1063">
                  <c:v>44452</c:v>
                </c:pt>
                <c:pt idx="1064">
                  <c:v>44448</c:v>
                </c:pt>
                <c:pt idx="1065">
                  <c:v>44447</c:v>
                </c:pt>
                <c:pt idx="1066">
                  <c:v>44446</c:v>
                </c:pt>
                <c:pt idx="1067">
                  <c:v>44445</c:v>
                </c:pt>
                <c:pt idx="1068">
                  <c:v>44442</c:v>
                </c:pt>
                <c:pt idx="1069">
                  <c:v>44441</c:v>
                </c:pt>
                <c:pt idx="1070">
                  <c:v>44440</c:v>
                </c:pt>
                <c:pt idx="1071">
                  <c:v>44439</c:v>
                </c:pt>
                <c:pt idx="1072">
                  <c:v>44438</c:v>
                </c:pt>
                <c:pt idx="1073">
                  <c:v>44435</c:v>
                </c:pt>
                <c:pt idx="1074">
                  <c:v>44434</c:v>
                </c:pt>
                <c:pt idx="1075">
                  <c:v>44433</c:v>
                </c:pt>
                <c:pt idx="1076">
                  <c:v>44432</c:v>
                </c:pt>
                <c:pt idx="1077">
                  <c:v>44431</c:v>
                </c:pt>
                <c:pt idx="1078">
                  <c:v>44428</c:v>
                </c:pt>
                <c:pt idx="1079">
                  <c:v>44426</c:v>
                </c:pt>
                <c:pt idx="1080">
                  <c:v>44425</c:v>
                </c:pt>
                <c:pt idx="1081">
                  <c:v>44424</c:v>
                </c:pt>
                <c:pt idx="1082">
                  <c:v>44421</c:v>
                </c:pt>
                <c:pt idx="1083">
                  <c:v>44420</c:v>
                </c:pt>
                <c:pt idx="1084">
                  <c:v>44419</c:v>
                </c:pt>
                <c:pt idx="1085">
                  <c:v>44418</c:v>
                </c:pt>
                <c:pt idx="1086">
                  <c:v>44417</c:v>
                </c:pt>
                <c:pt idx="1087">
                  <c:v>44414</c:v>
                </c:pt>
                <c:pt idx="1088">
                  <c:v>44413</c:v>
                </c:pt>
                <c:pt idx="1089">
                  <c:v>44412</c:v>
                </c:pt>
                <c:pt idx="1090">
                  <c:v>44411</c:v>
                </c:pt>
                <c:pt idx="1091">
                  <c:v>44410</c:v>
                </c:pt>
                <c:pt idx="1092">
                  <c:v>44407</c:v>
                </c:pt>
                <c:pt idx="1093">
                  <c:v>44406</c:v>
                </c:pt>
                <c:pt idx="1094">
                  <c:v>44405</c:v>
                </c:pt>
                <c:pt idx="1095">
                  <c:v>44404</c:v>
                </c:pt>
                <c:pt idx="1096">
                  <c:v>44403</c:v>
                </c:pt>
                <c:pt idx="1097">
                  <c:v>44400</c:v>
                </c:pt>
                <c:pt idx="1098">
                  <c:v>44399</c:v>
                </c:pt>
                <c:pt idx="1099">
                  <c:v>44397</c:v>
                </c:pt>
                <c:pt idx="1100">
                  <c:v>44396</c:v>
                </c:pt>
                <c:pt idx="1101">
                  <c:v>44393</c:v>
                </c:pt>
                <c:pt idx="1102">
                  <c:v>44392</c:v>
                </c:pt>
                <c:pt idx="1103">
                  <c:v>44391</c:v>
                </c:pt>
                <c:pt idx="1104">
                  <c:v>44390</c:v>
                </c:pt>
                <c:pt idx="1105">
                  <c:v>44389</c:v>
                </c:pt>
                <c:pt idx="1106">
                  <c:v>44386</c:v>
                </c:pt>
                <c:pt idx="1107">
                  <c:v>44385</c:v>
                </c:pt>
                <c:pt idx="1108">
                  <c:v>44384</c:v>
                </c:pt>
                <c:pt idx="1109">
                  <c:v>44383</c:v>
                </c:pt>
                <c:pt idx="1110">
                  <c:v>44382</c:v>
                </c:pt>
                <c:pt idx="1111">
                  <c:v>44379</c:v>
                </c:pt>
                <c:pt idx="1112">
                  <c:v>44378</c:v>
                </c:pt>
                <c:pt idx="1113">
                  <c:v>44377</c:v>
                </c:pt>
                <c:pt idx="1114">
                  <c:v>44376</c:v>
                </c:pt>
                <c:pt idx="1115">
                  <c:v>44375</c:v>
                </c:pt>
                <c:pt idx="1116">
                  <c:v>44372</c:v>
                </c:pt>
                <c:pt idx="1117">
                  <c:v>44371</c:v>
                </c:pt>
                <c:pt idx="1118">
                  <c:v>44370</c:v>
                </c:pt>
                <c:pt idx="1119">
                  <c:v>44369</c:v>
                </c:pt>
                <c:pt idx="1120">
                  <c:v>44368</c:v>
                </c:pt>
                <c:pt idx="1121">
                  <c:v>44365</c:v>
                </c:pt>
                <c:pt idx="1122">
                  <c:v>44364</c:v>
                </c:pt>
                <c:pt idx="1123">
                  <c:v>44363</c:v>
                </c:pt>
                <c:pt idx="1124">
                  <c:v>44362</c:v>
                </c:pt>
                <c:pt idx="1125">
                  <c:v>44361</c:v>
                </c:pt>
                <c:pt idx="1126">
                  <c:v>44358</c:v>
                </c:pt>
                <c:pt idx="1127">
                  <c:v>44357</c:v>
                </c:pt>
                <c:pt idx="1128">
                  <c:v>44356</c:v>
                </c:pt>
                <c:pt idx="1129">
                  <c:v>44355</c:v>
                </c:pt>
                <c:pt idx="1130">
                  <c:v>44354</c:v>
                </c:pt>
                <c:pt idx="1131">
                  <c:v>44351</c:v>
                </c:pt>
                <c:pt idx="1132">
                  <c:v>44350</c:v>
                </c:pt>
                <c:pt idx="1133">
                  <c:v>44349</c:v>
                </c:pt>
                <c:pt idx="1134">
                  <c:v>44348</c:v>
                </c:pt>
                <c:pt idx="1135">
                  <c:v>44347</c:v>
                </c:pt>
                <c:pt idx="1136">
                  <c:v>44344</c:v>
                </c:pt>
                <c:pt idx="1137">
                  <c:v>44343</c:v>
                </c:pt>
                <c:pt idx="1138">
                  <c:v>44342</c:v>
                </c:pt>
                <c:pt idx="1139">
                  <c:v>44341</c:v>
                </c:pt>
                <c:pt idx="1140">
                  <c:v>44340</c:v>
                </c:pt>
                <c:pt idx="1141">
                  <c:v>44337</c:v>
                </c:pt>
                <c:pt idx="1142">
                  <c:v>44336</c:v>
                </c:pt>
                <c:pt idx="1143">
                  <c:v>44335</c:v>
                </c:pt>
                <c:pt idx="1144">
                  <c:v>44334</c:v>
                </c:pt>
                <c:pt idx="1145">
                  <c:v>44333</c:v>
                </c:pt>
                <c:pt idx="1146">
                  <c:v>44330</c:v>
                </c:pt>
                <c:pt idx="1147">
                  <c:v>44328</c:v>
                </c:pt>
                <c:pt idx="1148">
                  <c:v>44327</c:v>
                </c:pt>
                <c:pt idx="1149">
                  <c:v>44326</c:v>
                </c:pt>
                <c:pt idx="1150">
                  <c:v>44323</c:v>
                </c:pt>
                <c:pt idx="1151">
                  <c:v>44322</c:v>
                </c:pt>
                <c:pt idx="1152">
                  <c:v>44321</c:v>
                </c:pt>
                <c:pt idx="1153">
                  <c:v>44320</c:v>
                </c:pt>
                <c:pt idx="1154">
                  <c:v>44319</c:v>
                </c:pt>
                <c:pt idx="1155">
                  <c:v>44316</c:v>
                </c:pt>
                <c:pt idx="1156">
                  <c:v>44315</c:v>
                </c:pt>
                <c:pt idx="1157">
                  <c:v>44314</c:v>
                </c:pt>
                <c:pt idx="1158">
                  <c:v>44313</c:v>
                </c:pt>
                <c:pt idx="1159">
                  <c:v>44312</c:v>
                </c:pt>
                <c:pt idx="1160">
                  <c:v>44309</c:v>
                </c:pt>
                <c:pt idx="1161">
                  <c:v>44308</c:v>
                </c:pt>
                <c:pt idx="1162">
                  <c:v>44306</c:v>
                </c:pt>
                <c:pt idx="1163">
                  <c:v>44305</c:v>
                </c:pt>
                <c:pt idx="1164">
                  <c:v>44302</c:v>
                </c:pt>
                <c:pt idx="1165">
                  <c:v>44301</c:v>
                </c:pt>
                <c:pt idx="1166">
                  <c:v>44299</c:v>
                </c:pt>
                <c:pt idx="1167">
                  <c:v>44298</c:v>
                </c:pt>
                <c:pt idx="1168">
                  <c:v>44295</c:v>
                </c:pt>
                <c:pt idx="1169">
                  <c:v>44294</c:v>
                </c:pt>
                <c:pt idx="1170">
                  <c:v>44293</c:v>
                </c:pt>
                <c:pt idx="1171">
                  <c:v>44292</c:v>
                </c:pt>
                <c:pt idx="1172">
                  <c:v>44291</c:v>
                </c:pt>
                <c:pt idx="1173">
                  <c:v>44287</c:v>
                </c:pt>
                <c:pt idx="1174">
                  <c:v>44286</c:v>
                </c:pt>
                <c:pt idx="1175">
                  <c:v>44285</c:v>
                </c:pt>
                <c:pt idx="1176">
                  <c:v>44281</c:v>
                </c:pt>
                <c:pt idx="1177">
                  <c:v>44280</c:v>
                </c:pt>
                <c:pt idx="1178">
                  <c:v>44279</c:v>
                </c:pt>
                <c:pt idx="1179">
                  <c:v>44278</c:v>
                </c:pt>
                <c:pt idx="1180">
                  <c:v>44277</c:v>
                </c:pt>
                <c:pt idx="1181">
                  <c:v>44274</c:v>
                </c:pt>
                <c:pt idx="1182">
                  <c:v>44273</c:v>
                </c:pt>
                <c:pt idx="1183">
                  <c:v>44272</c:v>
                </c:pt>
                <c:pt idx="1184">
                  <c:v>44271</c:v>
                </c:pt>
                <c:pt idx="1185">
                  <c:v>44270</c:v>
                </c:pt>
                <c:pt idx="1186">
                  <c:v>44267</c:v>
                </c:pt>
                <c:pt idx="1187">
                  <c:v>44265</c:v>
                </c:pt>
                <c:pt idx="1188">
                  <c:v>44264</c:v>
                </c:pt>
                <c:pt idx="1189">
                  <c:v>44263</c:v>
                </c:pt>
                <c:pt idx="1190">
                  <c:v>44260</c:v>
                </c:pt>
                <c:pt idx="1191">
                  <c:v>44259</c:v>
                </c:pt>
                <c:pt idx="1192">
                  <c:v>44258</c:v>
                </c:pt>
                <c:pt idx="1193">
                  <c:v>44257</c:v>
                </c:pt>
                <c:pt idx="1194">
                  <c:v>44256</c:v>
                </c:pt>
                <c:pt idx="1195">
                  <c:v>44253</c:v>
                </c:pt>
                <c:pt idx="1196">
                  <c:v>44252</c:v>
                </c:pt>
                <c:pt idx="1197">
                  <c:v>44251</c:v>
                </c:pt>
                <c:pt idx="1198">
                  <c:v>44250</c:v>
                </c:pt>
                <c:pt idx="1199">
                  <c:v>44249</c:v>
                </c:pt>
                <c:pt idx="1200">
                  <c:v>44246</c:v>
                </c:pt>
                <c:pt idx="1201">
                  <c:v>44245</c:v>
                </c:pt>
                <c:pt idx="1202">
                  <c:v>44244</c:v>
                </c:pt>
                <c:pt idx="1203">
                  <c:v>44243</c:v>
                </c:pt>
                <c:pt idx="1204">
                  <c:v>44242</c:v>
                </c:pt>
                <c:pt idx="1205">
                  <c:v>44239</c:v>
                </c:pt>
                <c:pt idx="1206">
                  <c:v>44238</c:v>
                </c:pt>
                <c:pt idx="1207">
                  <c:v>44237</c:v>
                </c:pt>
                <c:pt idx="1208">
                  <c:v>44236</c:v>
                </c:pt>
                <c:pt idx="1209">
                  <c:v>44235</c:v>
                </c:pt>
                <c:pt idx="1210">
                  <c:v>44232</c:v>
                </c:pt>
                <c:pt idx="1211">
                  <c:v>44231</c:v>
                </c:pt>
                <c:pt idx="1212">
                  <c:v>44230</c:v>
                </c:pt>
                <c:pt idx="1213">
                  <c:v>44229</c:v>
                </c:pt>
                <c:pt idx="1214">
                  <c:v>44228</c:v>
                </c:pt>
                <c:pt idx="1215">
                  <c:v>44225</c:v>
                </c:pt>
                <c:pt idx="1216">
                  <c:v>44224</c:v>
                </c:pt>
                <c:pt idx="1217">
                  <c:v>44223</c:v>
                </c:pt>
                <c:pt idx="1218">
                  <c:v>44221</c:v>
                </c:pt>
                <c:pt idx="1219">
                  <c:v>44218</c:v>
                </c:pt>
                <c:pt idx="1220">
                  <c:v>44217</c:v>
                </c:pt>
                <c:pt idx="1221">
                  <c:v>44216</c:v>
                </c:pt>
                <c:pt idx="1222">
                  <c:v>44215</c:v>
                </c:pt>
                <c:pt idx="1223">
                  <c:v>44214</c:v>
                </c:pt>
                <c:pt idx="1224">
                  <c:v>44211</c:v>
                </c:pt>
                <c:pt idx="1225">
                  <c:v>44210</c:v>
                </c:pt>
                <c:pt idx="1226">
                  <c:v>44209</c:v>
                </c:pt>
                <c:pt idx="1227">
                  <c:v>44208</c:v>
                </c:pt>
                <c:pt idx="1228">
                  <c:v>44207</c:v>
                </c:pt>
                <c:pt idx="1229">
                  <c:v>44204</c:v>
                </c:pt>
                <c:pt idx="1230">
                  <c:v>44203</c:v>
                </c:pt>
                <c:pt idx="1231">
                  <c:v>44202</c:v>
                </c:pt>
                <c:pt idx="1232">
                  <c:v>44201</c:v>
                </c:pt>
                <c:pt idx="1233">
                  <c:v>44200</c:v>
                </c:pt>
                <c:pt idx="1234">
                  <c:v>44197</c:v>
                </c:pt>
                <c:pt idx="1235">
                  <c:v>44196</c:v>
                </c:pt>
                <c:pt idx="1236">
                  <c:v>44195</c:v>
                </c:pt>
                <c:pt idx="1237">
                  <c:v>44194</c:v>
                </c:pt>
                <c:pt idx="1238">
                  <c:v>44193</c:v>
                </c:pt>
              </c:numCache>
            </c:numRef>
          </c:cat>
          <c:val>
            <c:numRef>
              <c:f>'INPUT SHEET'!$E$4:$E$1242</c:f>
              <c:numCache>
                <c:formatCode>General</c:formatCode>
                <c:ptCount val="1239"/>
                <c:pt idx="0">
                  <c:v>2.920318</c:v>
                </c:pt>
                <c:pt idx="1">
                  <c:v>2.4058090000000001</c:v>
                </c:pt>
                <c:pt idx="2">
                  <c:v>5.0550470000000001</c:v>
                </c:pt>
                <c:pt idx="3">
                  <c:v>3.441592</c:v>
                </c:pt>
                <c:pt idx="4">
                  <c:v>5.1471809999999998</c:v>
                </c:pt>
                <c:pt idx="5">
                  <c:v>11.542047999999999</c:v>
                </c:pt>
                <c:pt idx="6">
                  <c:v>1.6344719999999999</c:v>
                </c:pt>
                <c:pt idx="7">
                  <c:v>2.2810779999999999</c:v>
                </c:pt>
                <c:pt idx="8">
                  <c:v>2.017404</c:v>
                </c:pt>
                <c:pt idx="9">
                  <c:v>2.9287459999999998</c:v>
                </c:pt>
                <c:pt idx="10">
                  <c:v>4.2392789999999998</c:v>
                </c:pt>
                <c:pt idx="11">
                  <c:v>2.9694780000000001</c:v>
                </c:pt>
                <c:pt idx="12">
                  <c:v>2.7282139999999999</c:v>
                </c:pt>
                <c:pt idx="13">
                  <c:v>3.2161080000000002</c:v>
                </c:pt>
                <c:pt idx="14">
                  <c:v>3.5827939999999998</c:v>
                </c:pt>
                <c:pt idx="15">
                  <c:v>8.1153469999999999</c:v>
                </c:pt>
                <c:pt idx="16">
                  <c:v>4.0980160000000003</c:v>
                </c:pt>
                <c:pt idx="17">
                  <c:v>3.0936360000000001</c:v>
                </c:pt>
                <c:pt idx="18">
                  <c:v>5.9247059999999996</c:v>
                </c:pt>
                <c:pt idx="19">
                  <c:v>4.8420209999999999</c:v>
                </c:pt>
                <c:pt idx="20">
                  <c:v>5.2901559999999996</c:v>
                </c:pt>
                <c:pt idx="21">
                  <c:v>10.491953000000001</c:v>
                </c:pt>
                <c:pt idx="22">
                  <c:v>6.3635929999999998</c:v>
                </c:pt>
                <c:pt idx="23">
                  <c:v>4.6175940000000004</c:v>
                </c:pt>
                <c:pt idx="24">
                  <c:v>4.1012880000000003</c:v>
                </c:pt>
                <c:pt idx="25">
                  <c:v>10.175969</c:v>
                </c:pt>
                <c:pt idx="26">
                  <c:v>4.0880260000000002</c:v>
                </c:pt>
                <c:pt idx="27">
                  <c:v>5.1977399999999996</c:v>
                </c:pt>
                <c:pt idx="28">
                  <c:v>3.3452310000000001</c:v>
                </c:pt>
                <c:pt idx="29">
                  <c:v>6.7825129999999998</c:v>
                </c:pt>
                <c:pt idx="30">
                  <c:v>5.6154529999999996</c:v>
                </c:pt>
                <c:pt idx="31">
                  <c:v>4.140568</c:v>
                </c:pt>
                <c:pt idx="32">
                  <c:v>3.4614660000000002</c:v>
                </c:pt>
                <c:pt idx="33">
                  <c:v>3.7337210000000001</c:v>
                </c:pt>
                <c:pt idx="34">
                  <c:v>3.2993450000000002</c:v>
                </c:pt>
                <c:pt idx="35">
                  <c:v>6.1189070000000001</c:v>
                </c:pt>
                <c:pt idx="36">
                  <c:v>4.1066070000000003</c:v>
                </c:pt>
                <c:pt idx="37">
                  <c:v>4.0175320000000001</c:v>
                </c:pt>
                <c:pt idx="38">
                  <c:v>4.5788250000000001</c:v>
                </c:pt>
                <c:pt idx="39">
                  <c:v>8.1467770000000002</c:v>
                </c:pt>
                <c:pt idx="40">
                  <c:v>6.1850719999999999</c:v>
                </c:pt>
                <c:pt idx="41">
                  <c:v>4.8820459999999999</c:v>
                </c:pt>
                <c:pt idx="42">
                  <c:v>14.611221</c:v>
                </c:pt>
                <c:pt idx="43">
                  <c:v>1.940248</c:v>
                </c:pt>
                <c:pt idx="44">
                  <c:v>7.4186160000000001</c:v>
                </c:pt>
                <c:pt idx="45">
                  <c:v>6.4044140000000001</c:v>
                </c:pt>
                <c:pt idx="46">
                  <c:v>17.747171000000002</c:v>
                </c:pt>
                <c:pt idx="47">
                  <c:v>6.3281419999999997</c:v>
                </c:pt>
                <c:pt idx="48">
                  <c:v>5.7425379999999997</c:v>
                </c:pt>
                <c:pt idx="49">
                  <c:v>4.1384480000000003</c:v>
                </c:pt>
                <c:pt idx="50">
                  <c:v>6.9330350000000003</c:v>
                </c:pt>
                <c:pt idx="51">
                  <c:v>7.1946510000000004</c:v>
                </c:pt>
                <c:pt idx="52">
                  <c:v>5.1604299999999999</c:v>
                </c:pt>
                <c:pt idx="53">
                  <c:v>8.6201559999999997</c:v>
                </c:pt>
                <c:pt idx="54">
                  <c:v>20.128505000000001</c:v>
                </c:pt>
                <c:pt idx="55">
                  <c:v>11.095015</c:v>
                </c:pt>
                <c:pt idx="56">
                  <c:v>9.6550089999999997</c:v>
                </c:pt>
                <c:pt idx="57">
                  <c:v>8.165203</c:v>
                </c:pt>
                <c:pt idx="58">
                  <c:v>9.6938809999999993</c:v>
                </c:pt>
                <c:pt idx="59">
                  <c:v>5.618932</c:v>
                </c:pt>
                <c:pt idx="60">
                  <c:v>11.188302</c:v>
                </c:pt>
                <c:pt idx="61">
                  <c:v>12.812055000000001</c:v>
                </c:pt>
                <c:pt idx="62">
                  <c:v>16.079093</c:v>
                </c:pt>
                <c:pt idx="63">
                  <c:v>7.6898999999999997</c:v>
                </c:pt>
                <c:pt idx="64">
                  <c:v>8.9107319999999994</c:v>
                </c:pt>
                <c:pt idx="65">
                  <c:v>5.7130320000000001</c:v>
                </c:pt>
                <c:pt idx="66">
                  <c:v>5.5907390000000001</c:v>
                </c:pt>
                <c:pt idx="67">
                  <c:v>7.9656060000000002</c:v>
                </c:pt>
                <c:pt idx="68">
                  <c:v>3.8818069999999998</c:v>
                </c:pt>
                <c:pt idx="69">
                  <c:v>6.01485</c:v>
                </c:pt>
                <c:pt idx="70">
                  <c:v>5.2275390000000002</c:v>
                </c:pt>
                <c:pt idx="71">
                  <c:v>5.2410750000000004</c:v>
                </c:pt>
                <c:pt idx="72">
                  <c:v>4.3104189999999996</c:v>
                </c:pt>
                <c:pt idx="73">
                  <c:v>2.2601469999999999</c:v>
                </c:pt>
                <c:pt idx="74">
                  <c:v>2.8495889999999999</c:v>
                </c:pt>
                <c:pt idx="75">
                  <c:v>8.0884169999999997</c:v>
                </c:pt>
                <c:pt idx="76">
                  <c:v>8.3032959999999996</c:v>
                </c:pt>
                <c:pt idx="77">
                  <c:v>4.933541</c:v>
                </c:pt>
                <c:pt idx="78">
                  <c:v>3.190426</c:v>
                </c:pt>
                <c:pt idx="79">
                  <c:v>4.7180160000000004</c:v>
                </c:pt>
                <c:pt idx="80">
                  <c:v>8.5648029999999995</c:v>
                </c:pt>
                <c:pt idx="81">
                  <c:v>7.1976659999999999</c:v>
                </c:pt>
                <c:pt idx="82">
                  <c:v>2.7112780000000001</c:v>
                </c:pt>
                <c:pt idx="83">
                  <c:v>3.8537180000000002</c:v>
                </c:pt>
                <c:pt idx="84">
                  <c:v>6.4592619999999998</c:v>
                </c:pt>
                <c:pt idx="85">
                  <c:v>3.0347279999999999</c:v>
                </c:pt>
                <c:pt idx="86">
                  <c:v>5.6615310000000001</c:v>
                </c:pt>
                <c:pt idx="87">
                  <c:v>7.9649869999999998</c:v>
                </c:pt>
                <c:pt idx="88">
                  <c:v>6.7613050000000001</c:v>
                </c:pt>
                <c:pt idx="89">
                  <c:v>4.9667779999999997</c:v>
                </c:pt>
                <c:pt idx="90">
                  <c:v>4.5730250000000003</c:v>
                </c:pt>
                <c:pt idx="91">
                  <c:v>5.4527749999999999</c:v>
                </c:pt>
                <c:pt idx="92">
                  <c:v>5.0849029999999997</c:v>
                </c:pt>
                <c:pt idx="93">
                  <c:v>5.3211310000000003</c:v>
                </c:pt>
                <c:pt idx="94">
                  <c:v>4.2166509999999997</c:v>
                </c:pt>
                <c:pt idx="95">
                  <c:v>5.3180810000000003</c:v>
                </c:pt>
                <c:pt idx="96">
                  <c:v>4.4658449999999998</c:v>
                </c:pt>
                <c:pt idx="97">
                  <c:v>5.5454470000000002</c:v>
                </c:pt>
                <c:pt idx="98">
                  <c:v>7.6344130000000003</c:v>
                </c:pt>
                <c:pt idx="99">
                  <c:v>8.2474329999999991</c:v>
                </c:pt>
                <c:pt idx="100">
                  <c:v>15.599773000000001</c:v>
                </c:pt>
                <c:pt idx="101">
                  <c:v>9.0295570000000005</c:v>
                </c:pt>
                <c:pt idx="102">
                  <c:v>11.779887</c:v>
                </c:pt>
                <c:pt idx="103">
                  <c:v>9.9012089999999997</c:v>
                </c:pt>
                <c:pt idx="104">
                  <c:v>6.6339790000000001</c:v>
                </c:pt>
                <c:pt idx="105">
                  <c:v>9.9999570000000002</c:v>
                </c:pt>
                <c:pt idx="106">
                  <c:v>15.9055</c:v>
                </c:pt>
                <c:pt idx="107">
                  <c:v>38.053694999999998</c:v>
                </c:pt>
                <c:pt idx="108">
                  <c:v>5.6944280000000003</c:v>
                </c:pt>
                <c:pt idx="109">
                  <c:v>4.3882789999999998</c:v>
                </c:pt>
                <c:pt idx="110">
                  <c:v>4.7767559999999998</c:v>
                </c:pt>
                <c:pt idx="111">
                  <c:v>4.7725020000000002</c:v>
                </c:pt>
                <c:pt idx="112">
                  <c:v>4.4686539999999999</c:v>
                </c:pt>
                <c:pt idx="113">
                  <c:v>4.3397550000000003</c:v>
                </c:pt>
                <c:pt idx="114">
                  <c:v>8.6747949999999996</c:v>
                </c:pt>
                <c:pt idx="115">
                  <c:v>9.9736189999999993</c:v>
                </c:pt>
                <c:pt idx="116">
                  <c:v>5.7834019999999997</c:v>
                </c:pt>
                <c:pt idx="117">
                  <c:v>3.926186</c:v>
                </c:pt>
                <c:pt idx="118">
                  <c:v>6.2371850000000002</c:v>
                </c:pt>
                <c:pt idx="119">
                  <c:v>5.4710999999999999</c:v>
                </c:pt>
                <c:pt idx="120">
                  <c:v>8.7021979999999992</c:v>
                </c:pt>
                <c:pt idx="121">
                  <c:v>6.5598720000000004</c:v>
                </c:pt>
                <c:pt idx="122">
                  <c:v>6.0682739999999997</c:v>
                </c:pt>
                <c:pt idx="123">
                  <c:v>8.6784479999999995</c:v>
                </c:pt>
                <c:pt idx="124">
                  <c:v>4.2292589999999999</c:v>
                </c:pt>
                <c:pt idx="125">
                  <c:v>6.7457880000000001</c:v>
                </c:pt>
                <c:pt idx="126">
                  <c:v>2.3124690000000001</c:v>
                </c:pt>
                <c:pt idx="127">
                  <c:v>4.6523899999999996</c:v>
                </c:pt>
                <c:pt idx="128">
                  <c:v>4.2437630000000004</c:v>
                </c:pt>
                <c:pt idx="129">
                  <c:v>3.1356619999999999</c:v>
                </c:pt>
                <c:pt idx="130">
                  <c:v>4.4929459999999999</c:v>
                </c:pt>
                <c:pt idx="131">
                  <c:v>5.6974239999999998</c:v>
                </c:pt>
                <c:pt idx="132">
                  <c:v>3.9068679999999998</c:v>
                </c:pt>
                <c:pt idx="133">
                  <c:v>3.4617439999999999</c:v>
                </c:pt>
                <c:pt idx="134">
                  <c:v>4.1357749999999998</c:v>
                </c:pt>
                <c:pt idx="135">
                  <c:v>7.7475579999999997</c:v>
                </c:pt>
                <c:pt idx="136">
                  <c:v>9.1381080000000008</c:v>
                </c:pt>
                <c:pt idx="137">
                  <c:v>14.715420999999999</c:v>
                </c:pt>
                <c:pt idx="138">
                  <c:v>10.4816</c:v>
                </c:pt>
                <c:pt idx="139">
                  <c:v>4.3063549999999999</c:v>
                </c:pt>
                <c:pt idx="140">
                  <c:v>8.1556650000000008</c:v>
                </c:pt>
                <c:pt idx="141">
                  <c:v>3.7618529999999999</c:v>
                </c:pt>
                <c:pt idx="142">
                  <c:v>9.998488</c:v>
                </c:pt>
                <c:pt idx="143">
                  <c:v>7.788068</c:v>
                </c:pt>
                <c:pt idx="144">
                  <c:v>3.5254210000000001</c:v>
                </c:pt>
                <c:pt idx="145">
                  <c:v>7.2491630000000002</c:v>
                </c:pt>
                <c:pt idx="146">
                  <c:v>3.607612</c:v>
                </c:pt>
                <c:pt idx="147">
                  <c:v>3.676469</c:v>
                </c:pt>
                <c:pt idx="148">
                  <c:v>4.7955829999999997</c:v>
                </c:pt>
                <c:pt idx="149">
                  <c:v>3.712472</c:v>
                </c:pt>
                <c:pt idx="150">
                  <c:v>4.7244820000000001</c:v>
                </c:pt>
                <c:pt idx="151">
                  <c:v>4.5500220000000002</c:v>
                </c:pt>
                <c:pt idx="152">
                  <c:v>4.0162690000000003</c:v>
                </c:pt>
                <c:pt idx="153">
                  <c:v>6.7057479999999998</c:v>
                </c:pt>
                <c:pt idx="154">
                  <c:v>4.0849209999999996</c:v>
                </c:pt>
                <c:pt idx="155">
                  <c:v>5.5699259999999997</c:v>
                </c:pt>
                <c:pt idx="156">
                  <c:v>7.6162080000000003</c:v>
                </c:pt>
                <c:pt idx="157">
                  <c:v>5.3795710000000003</c:v>
                </c:pt>
                <c:pt idx="158">
                  <c:v>9.9123470000000005</c:v>
                </c:pt>
                <c:pt idx="159">
                  <c:v>4.2638170000000004</c:v>
                </c:pt>
                <c:pt idx="160">
                  <c:v>5.3482669999999999</c:v>
                </c:pt>
                <c:pt idx="161">
                  <c:v>7.2360559999999996</c:v>
                </c:pt>
                <c:pt idx="162">
                  <c:v>6.5676779999999999</c:v>
                </c:pt>
                <c:pt idx="163">
                  <c:v>6.2882569999999998</c:v>
                </c:pt>
                <c:pt idx="164">
                  <c:v>6.0745199999999997</c:v>
                </c:pt>
                <c:pt idx="165">
                  <c:v>5.5235019999999997</c:v>
                </c:pt>
                <c:pt idx="166">
                  <c:v>17.243807</c:v>
                </c:pt>
                <c:pt idx="167">
                  <c:v>9.0781369999999999</c:v>
                </c:pt>
                <c:pt idx="168">
                  <c:v>9.4339110000000002</c:v>
                </c:pt>
                <c:pt idx="169">
                  <c:v>8.4617100000000001</c:v>
                </c:pt>
                <c:pt idx="170">
                  <c:v>15.16658</c:v>
                </c:pt>
                <c:pt idx="171">
                  <c:v>13.446336000000001</c:v>
                </c:pt>
                <c:pt idx="172">
                  <c:v>12.836428</c:v>
                </c:pt>
                <c:pt idx="173">
                  <c:v>9.3202990000000003</c:v>
                </c:pt>
                <c:pt idx="174">
                  <c:v>8.1440719999999995</c:v>
                </c:pt>
                <c:pt idx="175">
                  <c:v>6.6902010000000001</c:v>
                </c:pt>
                <c:pt idx="176">
                  <c:v>8.723357</c:v>
                </c:pt>
                <c:pt idx="177">
                  <c:v>9.7204569999999997</c:v>
                </c:pt>
                <c:pt idx="178">
                  <c:v>6.0599910000000001</c:v>
                </c:pt>
                <c:pt idx="179">
                  <c:v>5.3456599999999996</c:v>
                </c:pt>
                <c:pt idx="180">
                  <c:v>4.0653439999999996</c:v>
                </c:pt>
                <c:pt idx="181">
                  <c:v>6.6381399999999999</c:v>
                </c:pt>
                <c:pt idx="182">
                  <c:v>4.9211900000000002</c:v>
                </c:pt>
                <c:pt idx="183">
                  <c:v>8.5089170000000003</c:v>
                </c:pt>
                <c:pt idx="184">
                  <c:v>7.1270600000000002</c:v>
                </c:pt>
                <c:pt idx="185">
                  <c:v>11.720528</c:v>
                </c:pt>
                <c:pt idx="186">
                  <c:v>8.2848629999999996</c:v>
                </c:pt>
                <c:pt idx="187">
                  <c:v>6.8485649999999998</c:v>
                </c:pt>
                <c:pt idx="188">
                  <c:v>3.7426439999999999</c:v>
                </c:pt>
                <c:pt idx="189">
                  <c:v>4.8223649999999996</c:v>
                </c:pt>
                <c:pt idx="190">
                  <c:v>7.3659400000000002</c:v>
                </c:pt>
                <c:pt idx="191">
                  <c:v>5.9386679999999998</c:v>
                </c:pt>
                <c:pt idx="192">
                  <c:v>4.0041399999999996</c:v>
                </c:pt>
                <c:pt idx="193">
                  <c:v>7.504702</c:v>
                </c:pt>
                <c:pt idx="194">
                  <c:v>4.7710850000000002</c:v>
                </c:pt>
                <c:pt idx="195">
                  <c:v>5.9956550000000002</c:v>
                </c:pt>
                <c:pt idx="196">
                  <c:v>7.597321</c:v>
                </c:pt>
                <c:pt idx="197">
                  <c:v>7.8611199999999997</c:v>
                </c:pt>
                <c:pt idx="198">
                  <c:v>5.1338730000000004</c:v>
                </c:pt>
                <c:pt idx="199">
                  <c:v>5.7864199999999997</c:v>
                </c:pt>
                <c:pt idx="200">
                  <c:v>6.7631839999999999</c:v>
                </c:pt>
                <c:pt idx="201">
                  <c:v>15.026849</c:v>
                </c:pt>
                <c:pt idx="202">
                  <c:v>9.7776899999999998</c:v>
                </c:pt>
                <c:pt idx="203">
                  <c:v>5.7089749999999997</c:v>
                </c:pt>
                <c:pt idx="204">
                  <c:v>4.2654540000000001</c:v>
                </c:pt>
                <c:pt idx="205">
                  <c:v>5.0199369999999996</c:v>
                </c:pt>
                <c:pt idx="206">
                  <c:v>5.0112120000000004</c:v>
                </c:pt>
                <c:pt idx="207">
                  <c:v>6.4013809999999998</c:v>
                </c:pt>
                <c:pt idx="208">
                  <c:v>3.090004</c:v>
                </c:pt>
                <c:pt idx="209">
                  <c:v>7.1668029999999998</c:v>
                </c:pt>
                <c:pt idx="210">
                  <c:v>5.3757549999999998</c:v>
                </c:pt>
                <c:pt idx="211">
                  <c:v>6.3482459999999996</c:v>
                </c:pt>
                <c:pt idx="212">
                  <c:v>7.6692830000000001</c:v>
                </c:pt>
                <c:pt idx="213">
                  <c:v>4.8082149999999997</c:v>
                </c:pt>
                <c:pt idx="214">
                  <c:v>3.9605649999999999</c:v>
                </c:pt>
                <c:pt idx="215">
                  <c:v>8.6386509999999994</c:v>
                </c:pt>
                <c:pt idx="216">
                  <c:v>5.815563</c:v>
                </c:pt>
                <c:pt idx="217">
                  <c:v>7.8583730000000003</c:v>
                </c:pt>
                <c:pt idx="218">
                  <c:v>16.058171000000002</c:v>
                </c:pt>
                <c:pt idx="219">
                  <c:v>7.1246049999999999</c:v>
                </c:pt>
                <c:pt idx="220">
                  <c:v>4.8303909999999997</c:v>
                </c:pt>
                <c:pt idx="221">
                  <c:v>9.0363120000000006</c:v>
                </c:pt>
                <c:pt idx="222">
                  <c:v>10.473117999999999</c:v>
                </c:pt>
                <c:pt idx="223">
                  <c:v>11.175205999999999</c:v>
                </c:pt>
                <c:pt idx="224">
                  <c:v>21.781371</c:v>
                </c:pt>
                <c:pt idx="225">
                  <c:v>12.713296</c:v>
                </c:pt>
                <c:pt idx="226">
                  <c:v>14.421920999999999</c:v>
                </c:pt>
                <c:pt idx="227">
                  <c:v>24.649522000000001</c:v>
                </c:pt>
                <c:pt idx="228">
                  <c:v>17.303146000000002</c:v>
                </c:pt>
                <c:pt idx="229">
                  <c:v>11.894500000000001</c:v>
                </c:pt>
                <c:pt idx="230">
                  <c:v>33.440506999999997</c:v>
                </c:pt>
                <c:pt idx="231">
                  <c:v>33.831617000000001</c:v>
                </c:pt>
                <c:pt idx="232">
                  <c:v>10.261727</c:v>
                </c:pt>
                <c:pt idx="233">
                  <c:v>11.418721</c:v>
                </c:pt>
                <c:pt idx="234">
                  <c:v>6.8928969999999996</c:v>
                </c:pt>
                <c:pt idx="235">
                  <c:v>7.18093</c:v>
                </c:pt>
                <c:pt idx="236">
                  <c:v>5.6128859999999996</c:v>
                </c:pt>
                <c:pt idx="237">
                  <c:v>9.0541900000000002</c:v>
                </c:pt>
                <c:pt idx="238">
                  <c:v>8.7800980000000006</c:v>
                </c:pt>
                <c:pt idx="239">
                  <c:v>4.6194620000000004</c:v>
                </c:pt>
                <c:pt idx="240">
                  <c:v>5.2834130000000004</c:v>
                </c:pt>
                <c:pt idx="241">
                  <c:v>7.3572199999999999</c:v>
                </c:pt>
                <c:pt idx="242">
                  <c:v>6.5570760000000003</c:v>
                </c:pt>
                <c:pt idx="243">
                  <c:v>2.9853550000000002</c:v>
                </c:pt>
                <c:pt idx="244">
                  <c:v>5.2921360000000002</c:v>
                </c:pt>
                <c:pt idx="245">
                  <c:v>9.4521549999999994</c:v>
                </c:pt>
                <c:pt idx="246">
                  <c:v>3.8016670000000001</c:v>
                </c:pt>
                <c:pt idx="247">
                  <c:v>4.7754599999999998</c:v>
                </c:pt>
                <c:pt idx="248">
                  <c:v>4.3436940000000002</c:v>
                </c:pt>
                <c:pt idx="249">
                  <c:v>3.8869210000000001</c:v>
                </c:pt>
                <c:pt idx="250">
                  <c:v>12.623056</c:v>
                </c:pt>
                <c:pt idx="251">
                  <c:v>11.67761</c:v>
                </c:pt>
                <c:pt idx="252">
                  <c:v>7.2221270000000004</c:v>
                </c:pt>
                <c:pt idx="253">
                  <c:v>7.2928170000000003</c:v>
                </c:pt>
                <c:pt idx="254">
                  <c:v>3.9752019999999999</c:v>
                </c:pt>
                <c:pt idx="255">
                  <c:v>8.7316179999999992</c:v>
                </c:pt>
                <c:pt idx="256">
                  <c:v>4.8252829999999998</c:v>
                </c:pt>
                <c:pt idx="257">
                  <c:v>7.7882420000000003</c:v>
                </c:pt>
                <c:pt idx="258">
                  <c:v>4.7143889999999997</c:v>
                </c:pt>
                <c:pt idx="259">
                  <c:v>6.3081120000000004</c:v>
                </c:pt>
                <c:pt idx="260">
                  <c:v>7.5422099999999999</c:v>
                </c:pt>
                <c:pt idx="261">
                  <c:v>10.640451000000001</c:v>
                </c:pt>
                <c:pt idx="262">
                  <c:v>18.379798000000001</c:v>
                </c:pt>
                <c:pt idx="263">
                  <c:v>8.3820420000000002</c:v>
                </c:pt>
                <c:pt idx="264">
                  <c:v>4.7858580000000002</c:v>
                </c:pt>
                <c:pt idx="265">
                  <c:v>6.4062770000000002</c:v>
                </c:pt>
                <c:pt idx="266">
                  <c:v>10.731275</c:v>
                </c:pt>
                <c:pt idx="267">
                  <c:v>5.9899430000000002</c:v>
                </c:pt>
                <c:pt idx="268">
                  <c:v>5.1274369999999996</c:v>
                </c:pt>
                <c:pt idx="269">
                  <c:v>12.385823</c:v>
                </c:pt>
                <c:pt idx="270">
                  <c:v>16.687505000000002</c:v>
                </c:pt>
                <c:pt idx="271">
                  <c:v>8.1262480000000004</c:v>
                </c:pt>
                <c:pt idx="272">
                  <c:v>19.225966</c:v>
                </c:pt>
                <c:pt idx="273">
                  <c:v>9.474971</c:v>
                </c:pt>
                <c:pt idx="274">
                  <c:v>5.975873</c:v>
                </c:pt>
                <c:pt idx="275">
                  <c:v>8.0791129999999995</c:v>
                </c:pt>
                <c:pt idx="276">
                  <c:v>9.6060879999999997</c:v>
                </c:pt>
                <c:pt idx="277">
                  <c:v>6.6206779999999998</c:v>
                </c:pt>
                <c:pt idx="278">
                  <c:v>3.786168</c:v>
                </c:pt>
                <c:pt idx="279">
                  <c:v>6.2528889999999997</c:v>
                </c:pt>
                <c:pt idx="280">
                  <c:v>10.353505999999999</c:v>
                </c:pt>
                <c:pt idx="281">
                  <c:v>11.701048999999999</c:v>
                </c:pt>
                <c:pt idx="282">
                  <c:v>9.288653</c:v>
                </c:pt>
                <c:pt idx="283">
                  <c:v>0.460781</c:v>
                </c:pt>
                <c:pt idx="284">
                  <c:v>8.6822940000000006</c:v>
                </c:pt>
                <c:pt idx="285">
                  <c:v>9.6865600000000001</c:v>
                </c:pt>
                <c:pt idx="286">
                  <c:v>9.9089460000000003</c:v>
                </c:pt>
                <c:pt idx="287">
                  <c:v>8.5722430000000003</c:v>
                </c:pt>
                <c:pt idx="288">
                  <c:v>12.798716000000001</c:v>
                </c:pt>
                <c:pt idx="289">
                  <c:v>5.0467000000000004</c:v>
                </c:pt>
                <c:pt idx="290">
                  <c:v>6.5018339999999997</c:v>
                </c:pt>
                <c:pt idx="291">
                  <c:v>7.256246</c:v>
                </c:pt>
                <c:pt idx="292">
                  <c:v>7.4560380000000004</c:v>
                </c:pt>
                <c:pt idx="293">
                  <c:v>20.829666</c:v>
                </c:pt>
                <c:pt idx="294">
                  <c:v>6.5952310000000001</c:v>
                </c:pt>
                <c:pt idx="295">
                  <c:v>7.7398540000000002</c:v>
                </c:pt>
                <c:pt idx="296">
                  <c:v>8.7415160000000007</c:v>
                </c:pt>
                <c:pt idx="297">
                  <c:v>9.7652959999999993</c:v>
                </c:pt>
                <c:pt idx="298">
                  <c:v>4.7541580000000003</c:v>
                </c:pt>
                <c:pt idx="299">
                  <c:v>6.8062430000000003</c:v>
                </c:pt>
                <c:pt idx="300">
                  <c:v>9.807734</c:v>
                </c:pt>
                <c:pt idx="301">
                  <c:v>8.4645700000000001</c:v>
                </c:pt>
                <c:pt idx="302">
                  <c:v>20.047013</c:v>
                </c:pt>
                <c:pt idx="303">
                  <c:v>13.064515</c:v>
                </c:pt>
                <c:pt idx="304">
                  <c:v>17.300892000000001</c:v>
                </c:pt>
                <c:pt idx="305">
                  <c:v>11.16428</c:v>
                </c:pt>
                <c:pt idx="306">
                  <c:v>8.4669190000000008</c:v>
                </c:pt>
                <c:pt idx="307">
                  <c:v>13.372026999999999</c:v>
                </c:pt>
                <c:pt idx="308">
                  <c:v>7.2700779999999998</c:v>
                </c:pt>
                <c:pt idx="309">
                  <c:v>6.8533239999999997</c:v>
                </c:pt>
                <c:pt idx="310">
                  <c:v>9.2259460000000004</c:v>
                </c:pt>
                <c:pt idx="311">
                  <c:v>5.4628139999999998</c:v>
                </c:pt>
                <c:pt idx="312">
                  <c:v>15.009629</c:v>
                </c:pt>
                <c:pt idx="313">
                  <c:v>8.4498639999999998</c:v>
                </c:pt>
                <c:pt idx="314">
                  <c:v>8.2100340000000003</c:v>
                </c:pt>
                <c:pt idx="315">
                  <c:v>8.0304269999999995</c:v>
                </c:pt>
                <c:pt idx="316">
                  <c:v>4.0392840000000003</c:v>
                </c:pt>
                <c:pt idx="317">
                  <c:v>6.7625659999999996</c:v>
                </c:pt>
                <c:pt idx="318">
                  <c:v>7.5928709999999997</c:v>
                </c:pt>
                <c:pt idx="319">
                  <c:v>6.0003289999999998</c:v>
                </c:pt>
                <c:pt idx="320">
                  <c:v>8.7238539999999993</c:v>
                </c:pt>
                <c:pt idx="321">
                  <c:v>7.7009400000000001</c:v>
                </c:pt>
                <c:pt idx="322">
                  <c:v>9.8745759999999994</c:v>
                </c:pt>
                <c:pt idx="323">
                  <c:v>4.2347659999999996</c:v>
                </c:pt>
                <c:pt idx="324">
                  <c:v>6.5279410000000002</c:v>
                </c:pt>
                <c:pt idx="325">
                  <c:v>7.9202459999999997</c:v>
                </c:pt>
                <c:pt idx="326">
                  <c:v>6.4323620000000004</c:v>
                </c:pt>
                <c:pt idx="327">
                  <c:v>10.190505999999999</c:v>
                </c:pt>
                <c:pt idx="328">
                  <c:v>7.290114</c:v>
                </c:pt>
                <c:pt idx="329">
                  <c:v>5.4835029999999998</c:v>
                </c:pt>
                <c:pt idx="330">
                  <c:v>8.7021130000000007</c:v>
                </c:pt>
                <c:pt idx="331">
                  <c:v>3.3926120000000002</c:v>
                </c:pt>
                <c:pt idx="332">
                  <c:v>5.1219619999999999</c:v>
                </c:pt>
                <c:pt idx="333">
                  <c:v>5.8413259999999996</c:v>
                </c:pt>
                <c:pt idx="334">
                  <c:v>9.4806299999999997</c:v>
                </c:pt>
                <c:pt idx="335">
                  <c:v>6.721749</c:v>
                </c:pt>
                <c:pt idx="336">
                  <c:v>6.6918230000000003</c:v>
                </c:pt>
                <c:pt idx="337">
                  <c:v>6.1071340000000003</c:v>
                </c:pt>
                <c:pt idx="338">
                  <c:v>5.0218410000000002</c:v>
                </c:pt>
                <c:pt idx="339">
                  <c:v>6.1804629999999996</c:v>
                </c:pt>
                <c:pt idx="340">
                  <c:v>9.0783839999999998</c:v>
                </c:pt>
                <c:pt idx="341">
                  <c:v>6.262086</c:v>
                </c:pt>
                <c:pt idx="342">
                  <c:v>7.9034279999999999</c:v>
                </c:pt>
                <c:pt idx="343">
                  <c:v>8.3703120000000002</c:v>
                </c:pt>
                <c:pt idx="344">
                  <c:v>8.5711220000000008</c:v>
                </c:pt>
                <c:pt idx="345">
                  <c:v>12.013362000000001</c:v>
                </c:pt>
                <c:pt idx="346">
                  <c:v>10.581445</c:v>
                </c:pt>
                <c:pt idx="347">
                  <c:v>11.1905</c:v>
                </c:pt>
                <c:pt idx="348">
                  <c:v>17.347076000000001</c:v>
                </c:pt>
                <c:pt idx="349">
                  <c:v>18.090045</c:v>
                </c:pt>
                <c:pt idx="350">
                  <c:v>19.598572999999998</c:v>
                </c:pt>
                <c:pt idx="351">
                  <c:v>18.554648</c:v>
                </c:pt>
                <c:pt idx="352">
                  <c:v>32.979871000000003</c:v>
                </c:pt>
                <c:pt idx="353">
                  <c:v>10.344860000000001</c:v>
                </c:pt>
                <c:pt idx="354">
                  <c:v>8.7893270000000001</c:v>
                </c:pt>
                <c:pt idx="355">
                  <c:v>6.695557</c:v>
                </c:pt>
                <c:pt idx="356">
                  <c:v>4.4960659999999999</c:v>
                </c:pt>
                <c:pt idx="357">
                  <c:v>6.7875110000000003</c:v>
                </c:pt>
                <c:pt idx="358">
                  <c:v>5.4332640000000003</c:v>
                </c:pt>
                <c:pt idx="359">
                  <c:v>11.537127</c:v>
                </c:pt>
                <c:pt idx="360">
                  <c:v>11.278987000000001</c:v>
                </c:pt>
                <c:pt idx="361">
                  <c:v>7.848846</c:v>
                </c:pt>
                <c:pt idx="362">
                  <c:v>9.0204889999999995</c:v>
                </c:pt>
                <c:pt idx="363">
                  <c:v>6.9303400000000002</c:v>
                </c:pt>
                <c:pt idx="364">
                  <c:v>4.2169509999999999</c:v>
                </c:pt>
                <c:pt idx="365">
                  <c:v>8.5935020000000009</c:v>
                </c:pt>
                <c:pt idx="366">
                  <c:v>4.81738</c:v>
                </c:pt>
                <c:pt idx="367">
                  <c:v>15.171347000000001</c:v>
                </c:pt>
                <c:pt idx="368">
                  <c:v>9.9454469999999997</c:v>
                </c:pt>
                <c:pt idx="369">
                  <c:v>5.797015</c:v>
                </c:pt>
                <c:pt idx="370">
                  <c:v>7.1670689999999997</c:v>
                </c:pt>
                <c:pt idx="371">
                  <c:v>22.311392999999999</c:v>
                </c:pt>
                <c:pt idx="372">
                  <c:v>13.95637</c:v>
                </c:pt>
                <c:pt idx="373">
                  <c:v>17.607952000000001</c:v>
                </c:pt>
                <c:pt idx="374">
                  <c:v>6.6765299999999996</c:v>
                </c:pt>
                <c:pt idx="375">
                  <c:v>29.311313999999999</c:v>
                </c:pt>
                <c:pt idx="376">
                  <c:v>8.2068580000000004</c:v>
                </c:pt>
                <c:pt idx="377">
                  <c:v>17.987437</c:v>
                </c:pt>
                <c:pt idx="378">
                  <c:v>6.8371810000000002</c:v>
                </c:pt>
                <c:pt idx="379">
                  <c:v>4.4510310000000004</c:v>
                </c:pt>
                <c:pt idx="380">
                  <c:v>5.321148</c:v>
                </c:pt>
                <c:pt idx="381">
                  <c:v>7.1997179999999998</c:v>
                </c:pt>
                <c:pt idx="382">
                  <c:v>9.390212</c:v>
                </c:pt>
                <c:pt idx="383">
                  <c:v>9.9950569999999992</c:v>
                </c:pt>
                <c:pt idx="384">
                  <c:v>8.5839979999999994</c:v>
                </c:pt>
                <c:pt idx="385">
                  <c:v>12.006879</c:v>
                </c:pt>
                <c:pt idx="386">
                  <c:v>21.039498999999999</c:v>
                </c:pt>
                <c:pt idx="387">
                  <c:v>24.135988999999999</c:v>
                </c:pt>
                <c:pt idx="388">
                  <c:v>22.197338999999999</c:v>
                </c:pt>
                <c:pt idx="389">
                  <c:v>10.057642</c:v>
                </c:pt>
                <c:pt idx="390">
                  <c:v>7.2322170000000003</c:v>
                </c:pt>
                <c:pt idx="391">
                  <c:v>9.4180639999999993</c:v>
                </c:pt>
                <c:pt idx="392">
                  <c:v>4.0187759999999999</c:v>
                </c:pt>
                <c:pt idx="393">
                  <c:v>10.450046</c:v>
                </c:pt>
                <c:pt idx="394">
                  <c:v>8.814997</c:v>
                </c:pt>
                <c:pt idx="395">
                  <c:v>12.818080999999999</c:v>
                </c:pt>
                <c:pt idx="396">
                  <c:v>9.0940329999999996</c:v>
                </c:pt>
                <c:pt idx="397">
                  <c:v>8.1620170000000005</c:v>
                </c:pt>
                <c:pt idx="398">
                  <c:v>0.16975699999999999</c:v>
                </c:pt>
                <c:pt idx="399">
                  <c:v>9.909986</c:v>
                </c:pt>
                <c:pt idx="400">
                  <c:v>10.750526000000001</c:v>
                </c:pt>
                <c:pt idx="401">
                  <c:v>5.4363380000000001</c:v>
                </c:pt>
                <c:pt idx="402">
                  <c:v>5.4711429999999996</c:v>
                </c:pt>
                <c:pt idx="403">
                  <c:v>5.5131600000000001</c:v>
                </c:pt>
                <c:pt idx="404">
                  <c:v>7.242718</c:v>
                </c:pt>
                <c:pt idx="405">
                  <c:v>5.226693</c:v>
                </c:pt>
                <c:pt idx="406">
                  <c:v>8.1756089999999997</c:v>
                </c:pt>
                <c:pt idx="407">
                  <c:v>7.1155090000000003</c:v>
                </c:pt>
                <c:pt idx="408">
                  <c:v>7.4901039999999997</c:v>
                </c:pt>
                <c:pt idx="409">
                  <c:v>9.9936319999999998</c:v>
                </c:pt>
                <c:pt idx="410">
                  <c:v>12.302236000000001</c:v>
                </c:pt>
                <c:pt idx="411">
                  <c:v>18.965164000000001</c:v>
                </c:pt>
                <c:pt idx="412">
                  <c:v>15.183242</c:v>
                </c:pt>
                <c:pt idx="413">
                  <c:v>10.133766</c:v>
                </c:pt>
                <c:pt idx="414">
                  <c:v>46.136294999999997</c:v>
                </c:pt>
                <c:pt idx="415">
                  <c:v>5.6411629999999997</c:v>
                </c:pt>
                <c:pt idx="416">
                  <c:v>8.3000120000000006</c:v>
                </c:pt>
                <c:pt idx="417">
                  <c:v>9.4108319999999992</c:v>
                </c:pt>
                <c:pt idx="418">
                  <c:v>21.598006999999999</c:v>
                </c:pt>
                <c:pt idx="419">
                  <c:v>17.832438</c:v>
                </c:pt>
                <c:pt idx="420">
                  <c:v>7.1078809999999999</c:v>
                </c:pt>
                <c:pt idx="421">
                  <c:v>8.8894350000000006</c:v>
                </c:pt>
                <c:pt idx="422">
                  <c:v>18.045983</c:v>
                </c:pt>
                <c:pt idx="423">
                  <c:v>9.0640739999999997</c:v>
                </c:pt>
                <c:pt idx="424">
                  <c:v>11.385225999999999</c:v>
                </c:pt>
                <c:pt idx="425">
                  <c:v>4.9671859999999999</c:v>
                </c:pt>
                <c:pt idx="426">
                  <c:v>9.2101869999999995</c:v>
                </c:pt>
                <c:pt idx="427">
                  <c:v>17.964843999999999</c:v>
                </c:pt>
                <c:pt idx="428">
                  <c:v>11.573589999999999</c:v>
                </c:pt>
                <c:pt idx="429">
                  <c:v>13.617893</c:v>
                </c:pt>
                <c:pt idx="430">
                  <c:v>5.4845560000000004</c:v>
                </c:pt>
                <c:pt idx="431">
                  <c:v>10.235317999999999</c:v>
                </c:pt>
                <c:pt idx="432">
                  <c:v>17.027308000000001</c:v>
                </c:pt>
                <c:pt idx="433">
                  <c:v>9.6567670000000003</c:v>
                </c:pt>
                <c:pt idx="434">
                  <c:v>9.8911940000000005</c:v>
                </c:pt>
                <c:pt idx="435">
                  <c:v>9.9037380000000006</c:v>
                </c:pt>
                <c:pt idx="436">
                  <c:v>12.619643999999999</c:v>
                </c:pt>
                <c:pt idx="437">
                  <c:v>6.7288860000000001</c:v>
                </c:pt>
                <c:pt idx="438">
                  <c:v>7.6124070000000001</c:v>
                </c:pt>
                <c:pt idx="439">
                  <c:v>17.798175000000001</c:v>
                </c:pt>
                <c:pt idx="440">
                  <c:v>10.253613</c:v>
                </c:pt>
                <c:pt idx="441">
                  <c:v>11.50389</c:v>
                </c:pt>
                <c:pt idx="442">
                  <c:v>9.8171379999999999</c:v>
                </c:pt>
                <c:pt idx="443">
                  <c:v>6.7516410000000002</c:v>
                </c:pt>
                <c:pt idx="444">
                  <c:v>6.9438789999999999</c:v>
                </c:pt>
                <c:pt idx="445">
                  <c:v>13.787637999999999</c:v>
                </c:pt>
                <c:pt idx="446">
                  <c:v>4.8514460000000001</c:v>
                </c:pt>
                <c:pt idx="447">
                  <c:v>5.8954409999999999</c:v>
                </c:pt>
                <c:pt idx="448">
                  <c:v>0.25046499999999999</c:v>
                </c:pt>
                <c:pt idx="449">
                  <c:v>4.8193900000000003</c:v>
                </c:pt>
                <c:pt idx="450">
                  <c:v>13.648997</c:v>
                </c:pt>
                <c:pt idx="451">
                  <c:v>7.6431909999999998</c:v>
                </c:pt>
                <c:pt idx="452">
                  <c:v>6.5468149999999996</c:v>
                </c:pt>
                <c:pt idx="453">
                  <c:v>5.3541889999999999</c:v>
                </c:pt>
                <c:pt idx="454">
                  <c:v>6.2509430000000004</c:v>
                </c:pt>
                <c:pt idx="455">
                  <c:v>14.63334</c:v>
                </c:pt>
                <c:pt idx="456">
                  <c:v>9.1772130000000001</c:v>
                </c:pt>
                <c:pt idx="457">
                  <c:v>8.7227999999999994</c:v>
                </c:pt>
                <c:pt idx="458">
                  <c:v>7.5626449999999998</c:v>
                </c:pt>
                <c:pt idx="459">
                  <c:v>8.6609069999999999</c:v>
                </c:pt>
                <c:pt idx="460">
                  <c:v>11.780823</c:v>
                </c:pt>
                <c:pt idx="461">
                  <c:v>16.609114999999999</c:v>
                </c:pt>
                <c:pt idx="462">
                  <c:v>8.4136089999999992</c:v>
                </c:pt>
                <c:pt idx="463">
                  <c:v>8.6943789999999996</c:v>
                </c:pt>
                <c:pt idx="464">
                  <c:v>8.2334540000000001</c:v>
                </c:pt>
                <c:pt idx="465">
                  <c:v>9.8691410000000008</c:v>
                </c:pt>
                <c:pt idx="466">
                  <c:v>7.2817930000000004</c:v>
                </c:pt>
                <c:pt idx="467">
                  <c:v>8.0111709999999992</c:v>
                </c:pt>
                <c:pt idx="468">
                  <c:v>12.569454</c:v>
                </c:pt>
                <c:pt idx="469">
                  <c:v>8.6674150000000001</c:v>
                </c:pt>
                <c:pt idx="470">
                  <c:v>9.7566819999999996</c:v>
                </c:pt>
                <c:pt idx="471">
                  <c:v>12.600390000000001</c:v>
                </c:pt>
                <c:pt idx="472">
                  <c:v>9.4269829999999999</c:v>
                </c:pt>
                <c:pt idx="473">
                  <c:v>11.188604</c:v>
                </c:pt>
                <c:pt idx="474">
                  <c:v>20.835433999999999</c:v>
                </c:pt>
                <c:pt idx="475">
                  <c:v>20.884046000000001</c:v>
                </c:pt>
                <c:pt idx="476">
                  <c:v>18.924087</c:v>
                </c:pt>
                <c:pt idx="477">
                  <c:v>5.0555940000000001</c:v>
                </c:pt>
                <c:pt idx="478">
                  <c:v>12.303696</c:v>
                </c:pt>
                <c:pt idx="479">
                  <c:v>11.473134999999999</c:v>
                </c:pt>
                <c:pt idx="480">
                  <c:v>24.913719</c:v>
                </c:pt>
                <c:pt idx="481">
                  <c:v>5.2297529999999997</c:v>
                </c:pt>
                <c:pt idx="482">
                  <c:v>6.7190789999999998</c:v>
                </c:pt>
                <c:pt idx="483">
                  <c:v>5.6167550000000004</c:v>
                </c:pt>
                <c:pt idx="484">
                  <c:v>4.6830350000000003</c:v>
                </c:pt>
                <c:pt idx="485">
                  <c:v>5.9341629999999999</c:v>
                </c:pt>
                <c:pt idx="486">
                  <c:v>6.359362</c:v>
                </c:pt>
                <c:pt idx="487">
                  <c:v>4.735538</c:v>
                </c:pt>
                <c:pt idx="488">
                  <c:v>8.0254659999999998</c:v>
                </c:pt>
                <c:pt idx="489">
                  <c:v>11.411683</c:v>
                </c:pt>
                <c:pt idx="490">
                  <c:v>10.225289999999999</c:v>
                </c:pt>
                <c:pt idx="491">
                  <c:v>7.8955770000000003</c:v>
                </c:pt>
                <c:pt idx="492">
                  <c:v>4.0837320000000004</c:v>
                </c:pt>
                <c:pt idx="493">
                  <c:v>8.7867309999999996</c:v>
                </c:pt>
                <c:pt idx="494">
                  <c:v>14.097667</c:v>
                </c:pt>
                <c:pt idx="495">
                  <c:v>6.1329359999999999</c:v>
                </c:pt>
                <c:pt idx="496">
                  <c:v>5.6875169999999997</c:v>
                </c:pt>
                <c:pt idx="497">
                  <c:v>10.600025</c:v>
                </c:pt>
                <c:pt idx="498">
                  <c:v>10.914682000000001</c:v>
                </c:pt>
                <c:pt idx="499">
                  <c:v>9.8480570000000007</c:v>
                </c:pt>
                <c:pt idx="500">
                  <c:v>6.8246409999999997</c:v>
                </c:pt>
                <c:pt idx="501">
                  <c:v>7.9224680000000003</c:v>
                </c:pt>
                <c:pt idx="502">
                  <c:v>12.048410000000001</c:v>
                </c:pt>
                <c:pt idx="503">
                  <c:v>9.4211930000000006</c:v>
                </c:pt>
                <c:pt idx="504">
                  <c:v>8.1845230000000004</c:v>
                </c:pt>
                <c:pt idx="505">
                  <c:v>9.0441109999999991</c:v>
                </c:pt>
                <c:pt idx="506">
                  <c:v>6.9245890000000001</c:v>
                </c:pt>
                <c:pt idx="507">
                  <c:v>7.3009890000000004</c:v>
                </c:pt>
                <c:pt idx="508">
                  <c:v>6.439419</c:v>
                </c:pt>
                <c:pt idx="509">
                  <c:v>7.3427670000000003</c:v>
                </c:pt>
                <c:pt idx="510">
                  <c:v>15.804808</c:v>
                </c:pt>
                <c:pt idx="511">
                  <c:v>14.043213</c:v>
                </c:pt>
                <c:pt idx="512">
                  <c:v>14.428758</c:v>
                </c:pt>
                <c:pt idx="513">
                  <c:v>24.755589000000001</c:v>
                </c:pt>
                <c:pt idx="514">
                  <c:v>9.4223960000000009</c:v>
                </c:pt>
                <c:pt idx="515">
                  <c:v>6.1733840000000004</c:v>
                </c:pt>
                <c:pt idx="516">
                  <c:v>6.9562809999999997</c:v>
                </c:pt>
                <c:pt idx="517">
                  <c:v>3.1128909999999999</c:v>
                </c:pt>
                <c:pt idx="518">
                  <c:v>6.1039880000000002</c:v>
                </c:pt>
                <c:pt idx="519">
                  <c:v>7.0616139999999996</c:v>
                </c:pt>
                <c:pt idx="520">
                  <c:v>8.2156559999999992</c:v>
                </c:pt>
                <c:pt idx="521">
                  <c:v>13.268352999999999</c:v>
                </c:pt>
                <c:pt idx="522">
                  <c:v>6.9088250000000002</c:v>
                </c:pt>
                <c:pt idx="523">
                  <c:v>7.2403880000000003</c:v>
                </c:pt>
                <c:pt idx="524">
                  <c:v>5.9854810000000001</c:v>
                </c:pt>
                <c:pt idx="525">
                  <c:v>0.46183400000000002</c:v>
                </c:pt>
                <c:pt idx="526">
                  <c:v>3.294063</c:v>
                </c:pt>
                <c:pt idx="527">
                  <c:v>4.4079350000000002</c:v>
                </c:pt>
                <c:pt idx="528">
                  <c:v>7.6433140000000002</c:v>
                </c:pt>
                <c:pt idx="529">
                  <c:v>6.5598590000000003</c:v>
                </c:pt>
                <c:pt idx="530">
                  <c:v>6.5521779999999996</c:v>
                </c:pt>
                <c:pt idx="531">
                  <c:v>4.2680480000000003</c:v>
                </c:pt>
                <c:pt idx="532">
                  <c:v>5.1939820000000001</c:v>
                </c:pt>
                <c:pt idx="533">
                  <c:v>5.7039840000000002</c:v>
                </c:pt>
                <c:pt idx="534">
                  <c:v>7.8168049999999996</c:v>
                </c:pt>
                <c:pt idx="535">
                  <c:v>5.2705669999999998</c:v>
                </c:pt>
                <c:pt idx="536">
                  <c:v>13.443016</c:v>
                </c:pt>
                <c:pt idx="537">
                  <c:v>17.540495</c:v>
                </c:pt>
                <c:pt idx="538">
                  <c:v>6.9570480000000003</c:v>
                </c:pt>
                <c:pt idx="539">
                  <c:v>5.8966950000000002</c:v>
                </c:pt>
                <c:pt idx="540">
                  <c:v>5.6643999999999997</c:v>
                </c:pt>
                <c:pt idx="541">
                  <c:v>4.8366249999999997</c:v>
                </c:pt>
                <c:pt idx="542">
                  <c:v>7.8189460000000004</c:v>
                </c:pt>
                <c:pt idx="543">
                  <c:v>6.105067</c:v>
                </c:pt>
                <c:pt idx="544">
                  <c:v>4.64696</c:v>
                </c:pt>
                <c:pt idx="545">
                  <c:v>12.173162</c:v>
                </c:pt>
                <c:pt idx="546">
                  <c:v>4.9202219999999999</c:v>
                </c:pt>
                <c:pt idx="547">
                  <c:v>7.3967830000000001</c:v>
                </c:pt>
                <c:pt idx="548">
                  <c:v>5.7284990000000002</c:v>
                </c:pt>
                <c:pt idx="549">
                  <c:v>6.8232140000000001</c:v>
                </c:pt>
                <c:pt idx="550">
                  <c:v>5.2897530000000001</c:v>
                </c:pt>
                <c:pt idx="551">
                  <c:v>7.950412</c:v>
                </c:pt>
                <c:pt idx="552">
                  <c:v>22.584212000000001</c:v>
                </c:pt>
                <c:pt idx="553">
                  <c:v>11.589321999999999</c:v>
                </c:pt>
                <c:pt idx="554">
                  <c:v>9.5286259999999992</c:v>
                </c:pt>
                <c:pt idx="555">
                  <c:v>15.818489</c:v>
                </c:pt>
                <c:pt idx="556">
                  <c:v>5.1586860000000003</c:v>
                </c:pt>
                <c:pt idx="557">
                  <c:v>6.3876150000000003</c:v>
                </c:pt>
                <c:pt idx="558">
                  <c:v>7.1238900000000003</c:v>
                </c:pt>
                <c:pt idx="559">
                  <c:v>7.1081099999999999</c:v>
                </c:pt>
                <c:pt idx="560">
                  <c:v>8.1565879999999993</c:v>
                </c:pt>
                <c:pt idx="561">
                  <c:v>13.619788</c:v>
                </c:pt>
                <c:pt idx="562">
                  <c:v>6.3973190000000004</c:v>
                </c:pt>
                <c:pt idx="563">
                  <c:v>8.9861570000000004</c:v>
                </c:pt>
                <c:pt idx="564">
                  <c:v>7.8555580000000003</c:v>
                </c:pt>
                <c:pt idx="565">
                  <c:v>12.254422999999999</c:v>
                </c:pt>
                <c:pt idx="566">
                  <c:v>8.9583270000000006</c:v>
                </c:pt>
                <c:pt idx="567">
                  <c:v>7.130484</c:v>
                </c:pt>
                <c:pt idx="568">
                  <c:v>6.4393510000000003</c:v>
                </c:pt>
                <c:pt idx="569">
                  <c:v>8.6865500000000004</c:v>
                </c:pt>
                <c:pt idx="570">
                  <c:v>16.351051999999999</c:v>
                </c:pt>
                <c:pt idx="571">
                  <c:v>10.54866</c:v>
                </c:pt>
                <c:pt idx="572">
                  <c:v>6.7271879999999999</c:v>
                </c:pt>
                <c:pt idx="573">
                  <c:v>10.946742</c:v>
                </c:pt>
                <c:pt idx="574">
                  <c:v>21.558299999999999</c:v>
                </c:pt>
                <c:pt idx="575">
                  <c:v>9.0230829999999997</c:v>
                </c:pt>
                <c:pt idx="576">
                  <c:v>8.114141</c:v>
                </c:pt>
                <c:pt idx="577">
                  <c:v>8.4514410000000009</c:v>
                </c:pt>
                <c:pt idx="578">
                  <c:v>6.2282409999999997</c:v>
                </c:pt>
                <c:pt idx="579">
                  <c:v>11.899556</c:v>
                </c:pt>
                <c:pt idx="580">
                  <c:v>12.677151</c:v>
                </c:pt>
                <c:pt idx="581">
                  <c:v>10.860061</c:v>
                </c:pt>
                <c:pt idx="582">
                  <c:v>6.8221550000000004</c:v>
                </c:pt>
                <c:pt idx="583">
                  <c:v>6.6487439999999998</c:v>
                </c:pt>
                <c:pt idx="584">
                  <c:v>9.3369940000000007</c:v>
                </c:pt>
                <c:pt idx="585">
                  <c:v>7.3946230000000002</c:v>
                </c:pt>
                <c:pt idx="586">
                  <c:v>7.1725219999999998</c:v>
                </c:pt>
                <c:pt idx="587">
                  <c:v>9.5582370000000001</c:v>
                </c:pt>
                <c:pt idx="588">
                  <c:v>13.590890999999999</c:v>
                </c:pt>
                <c:pt idx="589">
                  <c:v>7.7018310000000003</c:v>
                </c:pt>
                <c:pt idx="590">
                  <c:v>11.512734999999999</c:v>
                </c:pt>
                <c:pt idx="591">
                  <c:v>10.922609</c:v>
                </c:pt>
                <c:pt idx="592">
                  <c:v>12.376086000000001</c:v>
                </c:pt>
                <c:pt idx="593">
                  <c:v>17.076611</c:v>
                </c:pt>
                <c:pt idx="594">
                  <c:v>9.324465</c:v>
                </c:pt>
                <c:pt idx="595">
                  <c:v>8.4090959999999999</c:v>
                </c:pt>
                <c:pt idx="596">
                  <c:v>6.6019909999999999</c:v>
                </c:pt>
                <c:pt idx="597">
                  <c:v>8.5043919999999993</c:v>
                </c:pt>
                <c:pt idx="598">
                  <c:v>17.858060999999999</c:v>
                </c:pt>
                <c:pt idx="599">
                  <c:v>8.2982259999999997</c:v>
                </c:pt>
                <c:pt idx="600">
                  <c:v>13.448045</c:v>
                </c:pt>
                <c:pt idx="601">
                  <c:v>9.1677879999999998</c:v>
                </c:pt>
                <c:pt idx="602">
                  <c:v>6.2303170000000003</c:v>
                </c:pt>
                <c:pt idx="603">
                  <c:v>15.329753</c:v>
                </c:pt>
                <c:pt idx="604">
                  <c:v>7.5745440000000004</c:v>
                </c:pt>
                <c:pt idx="605">
                  <c:v>14.457717000000001</c:v>
                </c:pt>
                <c:pt idx="606">
                  <c:v>8.4724439999999994</c:v>
                </c:pt>
                <c:pt idx="607">
                  <c:v>5.3835139999999999</c:v>
                </c:pt>
                <c:pt idx="608">
                  <c:v>13.079929999999999</c:v>
                </c:pt>
                <c:pt idx="609">
                  <c:v>10.141257</c:v>
                </c:pt>
                <c:pt idx="610">
                  <c:v>10.616390000000001</c:v>
                </c:pt>
                <c:pt idx="611">
                  <c:v>7.1388499999999997</c:v>
                </c:pt>
                <c:pt idx="612">
                  <c:v>6.2365240000000002</c:v>
                </c:pt>
                <c:pt idx="613">
                  <c:v>10.221727</c:v>
                </c:pt>
                <c:pt idx="614">
                  <c:v>8.2000469999999996</c:v>
                </c:pt>
                <c:pt idx="615">
                  <c:v>7.3968059999999998</c:v>
                </c:pt>
                <c:pt idx="616">
                  <c:v>5.5627430000000002</c:v>
                </c:pt>
                <c:pt idx="617">
                  <c:v>7.0963500000000002</c:v>
                </c:pt>
                <c:pt idx="618">
                  <c:v>10.010996</c:v>
                </c:pt>
                <c:pt idx="619">
                  <c:v>6.9218859999999998</c:v>
                </c:pt>
                <c:pt idx="620">
                  <c:v>5.7995279999999996</c:v>
                </c:pt>
                <c:pt idx="621">
                  <c:v>6.188008</c:v>
                </c:pt>
                <c:pt idx="622">
                  <c:v>10.135883</c:v>
                </c:pt>
                <c:pt idx="623">
                  <c:v>7.8058550000000002</c:v>
                </c:pt>
                <c:pt idx="624">
                  <c:v>7.5965930000000004</c:v>
                </c:pt>
                <c:pt idx="625">
                  <c:v>11.025846</c:v>
                </c:pt>
                <c:pt idx="626">
                  <c:v>8.8609000000000009</c:v>
                </c:pt>
                <c:pt idx="627">
                  <c:v>15.978311</c:v>
                </c:pt>
                <c:pt idx="628">
                  <c:v>8.6444229999999997</c:v>
                </c:pt>
                <c:pt idx="629">
                  <c:v>15.233784999999999</c:v>
                </c:pt>
                <c:pt idx="630">
                  <c:v>7.4653749999999999</c:v>
                </c:pt>
                <c:pt idx="631">
                  <c:v>12.947464</c:v>
                </c:pt>
                <c:pt idx="632">
                  <c:v>10.209982</c:v>
                </c:pt>
                <c:pt idx="633">
                  <c:v>15.795824</c:v>
                </c:pt>
                <c:pt idx="634">
                  <c:v>14.457988</c:v>
                </c:pt>
                <c:pt idx="635">
                  <c:v>14.520004999999999</c:v>
                </c:pt>
                <c:pt idx="636">
                  <c:v>11.616991000000001</c:v>
                </c:pt>
                <c:pt idx="637">
                  <c:v>11.817532999999999</c:v>
                </c:pt>
                <c:pt idx="638">
                  <c:v>34.757004000000002</c:v>
                </c:pt>
                <c:pt idx="639">
                  <c:v>7.8044029999999998</c:v>
                </c:pt>
                <c:pt idx="640">
                  <c:v>7.1338710000000001</c:v>
                </c:pt>
                <c:pt idx="641">
                  <c:v>4.9084620000000001</c:v>
                </c:pt>
                <c:pt idx="642">
                  <c:v>8.1493500000000001</c:v>
                </c:pt>
                <c:pt idx="643">
                  <c:v>6.248545</c:v>
                </c:pt>
                <c:pt idx="644">
                  <c:v>8.2734450000000006</c:v>
                </c:pt>
                <c:pt idx="645">
                  <c:v>9.3831579999999999</c:v>
                </c:pt>
                <c:pt idx="646">
                  <c:v>8.3930019999999992</c:v>
                </c:pt>
                <c:pt idx="647">
                  <c:v>13.614127</c:v>
                </c:pt>
                <c:pt idx="648">
                  <c:v>10.248327</c:v>
                </c:pt>
                <c:pt idx="649">
                  <c:v>12.567615</c:v>
                </c:pt>
                <c:pt idx="650">
                  <c:v>7.3395789999999996</c:v>
                </c:pt>
                <c:pt idx="651">
                  <c:v>10.533272</c:v>
                </c:pt>
                <c:pt idx="652">
                  <c:v>13.816121000000001</c:v>
                </c:pt>
                <c:pt idx="653">
                  <c:v>11.893027</c:v>
                </c:pt>
                <c:pt idx="654">
                  <c:v>12.117151</c:v>
                </c:pt>
                <c:pt idx="655">
                  <c:v>7.0078820000000004</c:v>
                </c:pt>
                <c:pt idx="656">
                  <c:v>14.343308</c:v>
                </c:pt>
                <c:pt idx="657">
                  <c:v>9.7563910000000007</c:v>
                </c:pt>
                <c:pt idx="658">
                  <c:v>15.103014999999999</c:v>
                </c:pt>
                <c:pt idx="659">
                  <c:v>12.947953</c:v>
                </c:pt>
                <c:pt idx="660">
                  <c:v>23.004117000000001</c:v>
                </c:pt>
                <c:pt idx="661">
                  <c:v>15.992383</c:v>
                </c:pt>
                <c:pt idx="662">
                  <c:v>19.468723000000001</c:v>
                </c:pt>
                <c:pt idx="663">
                  <c:v>36.394388999999997</c:v>
                </c:pt>
                <c:pt idx="664">
                  <c:v>18.201632</c:v>
                </c:pt>
                <c:pt idx="665">
                  <c:v>15.520785999999999</c:v>
                </c:pt>
                <c:pt idx="666">
                  <c:v>19.444752999999999</c:v>
                </c:pt>
                <c:pt idx="667">
                  <c:v>23.494247000000001</c:v>
                </c:pt>
                <c:pt idx="668">
                  <c:v>17.238709</c:v>
                </c:pt>
                <c:pt idx="669">
                  <c:v>22.577380000000002</c:v>
                </c:pt>
                <c:pt idx="670">
                  <c:v>23.934570000000001</c:v>
                </c:pt>
                <c:pt idx="671">
                  <c:v>13.480335</c:v>
                </c:pt>
                <c:pt idx="672">
                  <c:v>23.930907000000001</c:v>
                </c:pt>
                <c:pt idx="673">
                  <c:v>15.656078000000001</c:v>
                </c:pt>
                <c:pt idx="674">
                  <c:v>19.677316000000001</c:v>
                </c:pt>
                <c:pt idx="675">
                  <c:v>11.890015</c:v>
                </c:pt>
                <c:pt idx="676">
                  <c:v>13.266882000000001</c:v>
                </c:pt>
                <c:pt idx="677">
                  <c:v>12.946752</c:v>
                </c:pt>
                <c:pt idx="678">
                  <c:v>17.121193999999999</c:v>
                </c:pt>
                <c:pt idx="679">
                  <c:v>11.002402</c:v>
                </c:pt>
                <c:pt idx="680">
                  <c:v>10.602508</c:v>
                </c:pt>
                <c:pt idx="681">
                  <c:v>8.0787180000000003</c:v>
                </c:pt>
                <c:pt idx="682">
                  <c:v>9.8578919999999997</c:v>
                </c:pt>
                <c:pt idx="683">
                  <c:v>8.0189240000000002</c:v>
                </c:pt>
                <c:pt idx="684">
                  <c:v>11.489951</c:v>
                </c:pt>
                <c:pt idx="685">
                  <c:v>10.744023</c:v>
                </c:pt>
                <c:pt idx="686">
                  <c:v>7.7624610000000001</c:v>
                </c:pt>
                <c:pt idx="687">
                  <c:v>8.7913829999999997</c:v>
                </c:pt>
                <c:pt idx="688">
                  <c:v>6.652641</c:v>
                </c:pt>
                <c:pt idx="689">
                  <c:v>12.573734</c:v>
                </c:pt>
                <c:pt idx="690">
                  <c:v>8.3157979999999991</c:v>
                </c:pt>
                <c:pt idx="691">
                  <c:v>11.198582999999999</c:v>
                </c:pt>
                <c:pt idx="692">
                  <c:v>14.746065</c:v>
                </c:pt>
                <c:pt idx="693">
                  <c:v>8.7857350000000007</c:v>
                </c:pt>
                <c:pt idx="694">
                  <c:v>10.781567000000001</c:v>
                </c:pt>
                <c:pt idx="695">
                  <c:v>7.9778039999999999</c:v>
                </c:pt>
                <c:pt idx="696">
                  <c:v>13.900508</c:v>
                </c:pt>
                <c:pt idx="697">
                  <c:v>12.345124999999999</c:v>
                </c:pt>
                <c:pt idx="698">
                  <c:v>13.012371999999999</c:v>
                </c:pt>
                <c:pt idx="699">
                  <c:v>8.0642669999999992</c:v>
                </c:pt>
                <c:pt idx="700">
                  <c:v>7.763814</c:v>
                </c:pt>
                <c:pt idx="701">
                  <c:v>8.4370030000000007</c:v>
                </c:pt>
                <c:pt idx="702">
                  <c:v>6.9840369999999998</c:v>
                </c:pt>
                <c:pt idx="703">
                  <c:v>9.6770639999999997</c:v>
                </c:pt>
                <c:pt idx="704">
                  <c:v>5.9923219999999997</c:v>
                </c:pt>
                <c:pt idx="705">
                  <c:v>8.4204790000000003</c:v>
                </c:pt>
                <c:pt idx="706">
                  <c:v>5.843235</c:v>
                </c:pt>
                <c:pt idx="707">
                  <c:v>7.3222659999999999</c:v>
                </c:pt>
                <c:pt idx="708">
                  <c:v>7.527755</c:v>
                </c:pt>
                <c:pt idx="709">
                  <c:v>5.7071940000000003</c:v>
                </c:pt>
                <c:pt idx="710">
                  <c:v>4.6034639999999998</c:v>
                </c:pt>
                <c:pt idx="711">
                  <c:v>5.9933120000000004</c:v>
                </c:pt>
                <c:pt idx="712">
                  <c:v>6.5728179999999998</c:v>
                </c:pt>
                <c:pt idx="713">
                  <c:v>5.0551870000000001</c:v>
                </c:pt>
                <c:pt idx="714">
                  <c:v>10.129098000000001</c:v>
                </c:pt>
                <c:pt idx="715">
                  <c:v>7.3657320000000004</c:v>
                </c:pt>
                <c:pt idx="716">
                  <c:v>9.5670529999999996</c:v>
                </c:pt>
                <c:pt idx="717">
                  <c:v>12.409819000000001</c:v>
                </c:pt>
                <c:pt idx="718">
                  <c:v>16.856151000000001</c:v>
                </c:pt>
                <c:pt idx="719">
                  <c:v>21.233998</c:v>
                </c:pt>
                <c:pt idx="720">
                  <c:v>17.300736000000001</c:v>
                </c:pt>
                <c:pt idx="721">
                  <c:v>11.921747999999999</c:v>
                </c:pt>
                <c:pt idx="722">
                  <c:v>18.527896999999999</c:v>
                </c:pt>
                <c:pt idx="723">
                  <c:v>5.2361240000000002</c:v>
                </c:pt>
                <c:pt idx="724">
                  <c:v>4.5113599999999998</c:v>
                </c:pt>
                <c:pt idx="725">
                  <c:v>7.72173</c:v>
                </c:pt>
                <c:pt idx="726">
                  <c:v>5.7309390000000002</c:v>
                </c:pt>
                <c:pt idx="727">
                  <c:v>6.90496</c:v>
                </c:pt>
                <c:pt idx="728">
                  <c:v>10.008273000000001</c:v>
                </c:pt>
                <c:pt idx="729">
                  <c:v>9.0836079999999999</c:v>
                </c:pt>
                <c:pt idx="730">
                  <c:v>8.6613749999999996</c:v>
                </c:pt>
                <c:pt idx="731">
                  <c:v>7.1003550000000004</c:v>
                </c:pt>
                <c:pt idx="732">
                  <c:v>7.1401500000000002</c:v>
                </c:pt>
                <c:pt idx="733">
                  <c:v>7.025747</c:v>
                </c:pt>
                <c:pt idx="734">
                  <c:v>5.7877830000000001</c:v>
                </c:pt>
                <c:pt idx="735">
                  <c:v>6.9989800000000004</c:v>
                </c:pt>
                <c:pt idx="736">
                  <c:v>9.0593920000000008</c:v>
                </c:pt>
                <c:pt idx="737">
                  <c:v>6.9278190000000004</c:v>
                </c:pt>
                <c:pt idx="738">
                  <c:v>3.4981979999999999</c:v>
                </c:pt>
                <c:pt idx="739">
                  <c:v>3.7044489999999999</c:v>
                </c:pt>
                <c:pt idx="740">
                  <c:v>12.204113</c:v>
                </c:pt>
                <c:pt idx="741">
                  <c:v>5.9564959999999996</c:v>
                </c:pt>
                <c:pt idx="742">
                  <c:v>3.3460830000000001</c:v>
                </c:pt>
                <c:pt idx="743">
                  <c:v>4.7644399999999996</c:v>
                </c:pt>
                <c:pt idx="744">
                  <c:v>6.3716949999999999</c:v>
                </c:pt>
                <c:pt idx="745">
                  <c:v>9.2027169999999998</c:v>
                </c:pt>
                <c:pt idx="746">
                  <c:v>8.3689599999999995</c:v>
                </c:pt>
                <c:pt idx="747">
                  <c:v>9.5118179999999999</c:v>
                </c:pt>
                <c:pt idx="748">
                  <c:v>4.8423360000000004</c:v>
                </c:pt>
                <c:pt idx="749">
                  <c:v>6.9269280000000002</c:v>
                </c:pt>
                <c:pt idx="750">
                  <c:v>7.3592610000000001</c:v>
                </c:pt>
                <c:pt idx="751">
                  <c:v>8.5734790000000007</c:v>
                </c:pt>
                <c:pt idx="752">
                  <c:v>8.1365590000000001</c:v>
                </c:pt>
                <c:pt idx="753">
                  <c:v>7.6217879999999996</c:v>
                </c:pt>
                <c:pt idx="754">
                  <c:v>8.0189810000000001</c:v>
                </c:pt>
                <c:pt idx="755">
                  <c:v>17.466047</c:v>
                </c:pt>
                <c:pt idx="756">
                  <c:v>9.1036560000000009</c:v>
                </c:pt>
                <c:pt idx="757">
                  <c:v>5.3510989999999996</c:v>
                </c:pt>
                <c:pt idx="758">
                  <c:v>5.0981639999999997</c:v>
                </c:pt>
                <c:pt idx="759">
                  <c:v>7.9888510000000004</c:v>
                </c:pt>
                <c:pt idx="760">
                  <c:v>7.0530999999999997</c:v>
                </c:pt>
                <c:pt idx="761">
                  <c:v>10.452798</c:v>
                </c:pt>
                <c:pt idx="762">
                  <c:v>5.6611580000000004</c:v>
                </c:pt>
                <c:pt idx="763">
                  <c:v>7.9281470000000001</c:v>
                </c:pt>
                <c:pt idx="764">
                  <c:v>7.6140470000000002</c:v>
                </c:pt>
                <c:pt idx="765">
                  <c:v>4.9287780000000003</c:v>
                </c:pt>
                <c:pt idx="766">
                  <c:v>5.8614170000000003</c:v>
                </c:pt>
                <c:pt idx="767">
                  <c:v>5.5352329999999998</c:v>
                </c:pt>
                <c:pt idx="768">
                  <c:v>7.2092070000000001</c:v>
                </c:pt>
                <c:pt idx="769">
                  <c:v>7.0653040000000003</c:v>
                </c:pt>
                <c:pt idx="770">
                  <c:v>4.9096070000000003</c:v>
                </c:pt>
                <c:pt idx="771">
                  <c:v>6.5218540000000003</c:v>
                </c:pt>
                <c:pt idx="772">
                  <c:v>7.1247670000000003</c:v>
                </c:pt>
                <c:pt idx="773">
                  <c:v>6.9853059999999996</c:v>
                </c:pt>
                <c:pt idx="774">
                  <c:v>19.329819000000001</c:v>
                </c:pt>
                <c:pt idx="775">
                  <c:v>18.956575000000001</c:v>
                </c:pt>
                <c:pt idx="776">
                  <c:v>10.190208999999999</c:v>
                </c:pt>
                <c:pt idx="777">
                  <c:v>9.9312609999999992</c:v>
                </c:pt>
                <c:pt idx="778">
                  <c:v>7.3238789999999998</c:v>
                </c:pt>
                <c:pt idx="779">
                  <c:v>10.185978</c:v>
                </c:pt>
                <c:pt idx="780">
                  <c:v>11.02914</c:v>
                </c:pt>
                <c:pt idx="781">
                  <c:v>29.191921000000001</c:v>
                </c:pt>
                <c:pt idx="782">
                  <c:v>9.0387769999999996</c:v>
                </c:pt>
                <c:pt idx="783">
                  <c:v>7.3202069999999999</c:v>
                </c:pt>
                <c:pt idx="784">
                  <c:v>11.967044</c:v>
                </c:pt>
                <c:pt idx="785">
                  <c:v>13.187308</c:v>
                </c:pt>
                <c:pt idx="786">
                  <c:v>3.0853069999999998</c:v>
                </c:pt>
                <c:pt idx="787">
                  <c:v>58.057724</c:v>
                </c:pt>
                <c:pt idx="788">
                  <c:v>11.813817</c:v>
                </c:pt>
                <c:pt idx="789">
                  <c:v>10.868663</c:v>
                </c:pt>
                <c:pt idx="790">
                  <c:v>8.4708819999999996</c:v>
                </c:pt>
                <c:pt idx="791">
                  <c:v>9.4638270000000002</c:v>
                </c:pt>
                <c:pt idx="792">
                  <c:v>8.2206449999999993</c:v>
                </c:pt>
                <c:pt idx="793">
                  <c:v>13.024910999999999</c:v>
                </c:pt>
                <c:pt idx="794">
                  <c:v>21.228017999999999</c:v>
                </c:pt>
                <c:pt idx="795">
                  <c:v>15.953495</c:v>
                </c:pt>
                <c:pt idx="796">
                  <c:v>14.106654000000001</c:v>
                </c:pt>
                <c:pt idx="797">
                  <c:v>7.50054</c:v>
                </c:pt>
                <c:pt idx="798">
                  <c:v>9.3764330000000005</c:v>
                </c:pt>
                <c:pt idx="799">
                  <c:v>5.4389339999999997</c:v>
                </c:pt>
                <c:pt idx="800">
                  <c:v>6.4056449999999998</c:v>
                </c:pt>
                <c:pt idx="801">
                  <c:v>9.5360169999999993</c:v>
                </c:pt>
                <c:pt idx="802">
                  <c:v>12.090980999999999</c:v>
                </c:pt>
                <c:pt idx="803">
                  <c:v>13.170667999999999</c:v>
                </c:pt>
                <c:pt idx="804">
                  <c:v>11.358306000000001</c:v>
                </c:pt>
                <c:pt idx="805">
                  <c:v>11.090327</c:v>
                </c:pt>
                <c:pt idx="806">
                  <c:v>10.278805</c:v>
                </c:pt>
                <c:pt idx="807">
                  <c:v>7.8042749999999996</c:v>
                </c:pt>
                <c:pt idx="808">
                  <c:v>6.5670840000000004</c:v>
                </c:pt>
                <c:pt idx="809">
                  <c:v>8.2740790000000004</c:v>
                </c:pt>
                <c:pt idx="810">
                  <c:v>11.427799</c:v>
                </c:pt>
                <c:pt idx="811">
                  <c:v>11.467351000000001</c:v>
                </c:pt>
                <c:pt idx="812">
                  <c:v>5.996899</c:v>
                </c:pt>
                <c:pt idx="813">
                  <c:v>10.494713000000001</c:v>
                </c:pt>
                <c:pt idx="814">
                  <c:v>9.8875159999999997</c:v>
                </c:pt>
                <c:pt idx="815">
                  <c:v>15.521649</c:v>
                </c:pt>
                <c:pt idx="816">
                  <c:v>8.7323020000000007</c:v>
                </c:pt>
                <c:pt idx="817">
                  <c:v>13.41079</c:v>
                </c:pt>
                <c:pt idx="818">
                  <c:v>10.156459999999999</c:v>
                </c:pt>
                <c:pt idx="819">
                  <c:v>7.6061810000000003</c:v>
                </c:pt>
                <c:pt idx="820">
                  <c:v>5.8940549999999998</c:v>
                </c:pt>
                <c:pt idx="821">
                  <c:v>7.7678120000000002</c:v>
                </c:pt>
                <c:pt idx="822">
                  <c:v>9.3538049999999995</c:v>
                </c:pt>
                <c:pt idx="823">
                  <c:v>9.1932700000000001</c:v>
                </c:pt>
                <c:pt idx="824">
                  <c:v>5.9041459999999999</c:v>
                </c:pt>
                <c:pt idx="825">
                  <c:v>4.6137129999999997</c:v>
                </c:pt>
                <c:pt idx="826">
                  <c:v>6.3208900000000003</c:v>
                </c:pt>
                <c:pt idx="827">
                  <c:v>6.87582</c:v>
                </c:pt>
                <c:pt idx="828">
                  <c:v>6.5946340000000001</c:v>
                </c:pt>
                <c:pt idx="829">
                  <c:v>4.9943109999999997</c:v>
                </c:pt>
                <c:pt idx="830">
                  <c:v>7.5532700000000004</c:v>
                </c:pt>
                <c:pt idx="831">
                  <c:v>9.4499239999999993</c:v>
                </c:pt>
                <c:pt idx="832">
                  <c:v>7.6743899999999998</c:v>
                </c:pt>
                <c:pt idx="833">
                  <c:v>7.0514979999999996</c:v>
                </c:pt>
                <c:pt idx="834">
                  <c:v>4.6143409999999996</c:v>
                </c:pt>
                <c:pt idx="835">
                  <c:v>12.384073000000001</c:v>
                </c:pt>
                <c:pt idx="836">
                  <c:v>9.0695409999999992</c:v>
                </c:pt>
                <c:pt idx="837">
                  <c:v>8.1918699999999998</c:v>
                </c:pt>
                <c:pt idx="838">
                  <c:v>4.583196</c:v>
                </c:pt>
                <c:pt idx="839">
                  <c:v>7.4666350000000001</c:v>
                </c:pt>
                <c:pt idx="840">
                  <c:v>9.4587610000000009</c:v>
                </c:pt>
                <c:pt idx="841">
                  <c:v>7.2756259999999999</c:v>
                </c:pt>
                <c:pt idx="842">
                  <c:v>5.4931049999999999</c:v>
                </c:pt>
                <c:pt idx="843">
                  <c:v>6.624854</c:v>
                </c:pt>
                <c:pt idx="844">
                  <c:v>6.9648380000000003</c:v>
                </c:pt>
                <c:pt idx="845">
                  <c:v>6.1068800000000003</c:v>
                </c:pt>
                <c:pt idx="846">
                  <c:v>14.135744000000001</c:v>
                </c:pt>
                <c:pt idx="847">
                  <c:v>6.2304110000000001</c:v>
                </c:pt>
                <c:pt idx="848">
                  <c:v>9.7134900000000002</c:v>
                </c:pt>
                <c:pt idx="849">
                  <c:v>8.0365149999999996</c:v>
                </c:pt>
                <c:pt idx="850">
                  <c:v>11.620331</c:v>
                </c:pt>
                <c:pt idx="851">
                  <c:v>10.171314000000001</c:v>
                </c:pt>
                <c:pt idx="852">
                  <c:v>12.464664000000001</c:v>
                </c:pt>
                <c:pt idx="853">
                  <c:v>6.0150569999999997</c:v>
                </c:pt>
                <c:pt idx="854">
                  <c:v>8.0263109999999998</c:v>
                </c:pt>
                <c:pt idx="855">
                  <c:v>9.6146740000000008</c:v>
                </c:pt>
                <c:pt idx="856">
                  <c:v>6.4468100000000002</c:v>
                </c:pt>
                <c:pt idx="857">
                  <c:v>14.864285000000001</c:v>
                </c:pt>
                <c:pt idx="858">
                  <c:v>12.669532999999999</c:v>
                </c:pt>
                <c:pt idx="859">
                  <c:v>11.171714</c:v>
                </c:pt>
                <c:pt idx="860">
                  <c:v>6.6846860000000001</c:v>
                </c:pt>
                <c:pt idx="861">
                  <c:v>5.0447870000000004</c:v>
                </c:pt>
                <c:pt idx="862">
                  <c:v>3.9333840000000002</c:v>
                </c:pt>
                <c:pt idx="863">
                  <c:v>6.5493589999999999</c:v>
                </c:pt>
                <c:pt idx="864">
                  <c:v>10.563138</c:v>
                </c:pt>
                <c:pt idx="865">
                  <c:v>13.620084</c:v>
                </c:pt>
                <c:pt idx="866">
                  <c:v>10.711123000000001</c:v>
                </c:pt>
                <c:pt idx="867">
                  <c:v>4.5521140000000004</c:v>
                </c:pt>
                <c:pt idx="868">
                  <c:v>6.9185840000000001</c:v>
                </c:pt>
                <c:pt idx="869">
                  <c:v>8.4507770000000004</c:v>
                </c:pt>
                <c:pt idx="870">
                  <c:v>5.8990239999999998</c:v>
                </c:pt>
                <c:pt idx="871">
                  <c:v>10.333886</c:v>
                </c:pt>
                <c:pt idx="872">
                  <c:v>5.3052219999999997</c:v>
                </c:pt>
                <c:pt idx="873">
                  <c:v>6.8492009999999999</c:v>
                </c:pt>
                <c:pt idx="874">
                  <c:v>5.9602830000000004</c:v>
                </c:pt>
                <c:pt idx="875">
                  <c:v>4.6383359999999998</c:v>
                </c:pt>
                <c:pt idx="876">
                  <c:v>5.3918330000000001</c:v>
                </c:pt>
                <c:pt idx="877">
                  <c:v>6.1354309999999996</c:v>
                </c:pt>
                <c:pt idx="878">
                  <c:v>6.758832</c:v>
                </c:pt>
                <c:pt idx="879">
                  <c:v>5.6827430000000003</c:v>
                </c:pt>
                <c:pt idx="880">
                  <c:v>9.2824939999999998</c:v>
                </c:pt>
                <c:pt idx="881">
                  <c:v>8.3127779999999998</c:v>
                </c:pt>
                <c:pt idx="882">
                  <c:v>6.7568640000000002</c:v>
                </c:pt>
                <c:pt idx="883">
                  <c:v>8.4757259999999999</c:v>
                </c:pt>
                <c:pt idx="884">
                  <c:v>6.3474329999999997</c:v>
                </c:pt>
                <c:pt idx="885">
                  <c:v>6.9666740000000003</c:v>
                </c:pt>
                <c:pt idx="886">
                  <c:v>10.410424000000001</c:v>
                </c:pt>
                <c:pt idx="887">
                  <c:v>3.81806</c:v>
                </c:pt>
                <c:pt idx="888">
                  <c:v>5.5390600000000001</c:v>
                </c:pt>
                <c:pt idx="889">
                  <c:v>10.114633</c:v>
                </c:pt>
                <c:pt idx="890">
                  <c:v>5.169619</c:v>
                </c:pt>
                <c:pt idx="891">
                  <c:v>8.0885459999999991</c:v>
                </c:pt>
                <c:pt idx="892">
                  <c:v>7.9193530000000001</c:v>
                </c:pt>
                <c:pt idx="893">
                  <c:v>9.708672</c:v>
                </c:pt>
                <c:pt idx="894">
                  <c:v>9.2169480000000004</c:v>
                </c:pt>
                <c:pt idx="895">
                  <c:v>13.013873</c:v>
                </c:pt>
                <c:pt idx="896">
                  <c:v>8.1522369999999995</c:v>
                </c:pt>
                <c:pt idx="897">
                  <c:v>6.1596950000000001</c:v>
                </c:pt>
                <c:pt idx="898">
                  <c:v>9.618627</c:v>
                </c:pt>
                <c:pt idx="899">
                  <c:v>11.166084</c:v>
                </c:pt>
                <c:pt idx="900">
                  <c:v>9.3523980000000009</c:v>
                </c:pt>
                <c:pt idx="901">
                  <c:v>9.5236979999999996</c:v>
                </c:pt>
                <c:pt idx="902">
                  <c:v>13.999328999999999</c:v>
                </c:pt>
                <c:pt idx="903">
                  <c:v>15.511195000000001</c:v>
                </c:pt>
                <c:pt idx="904">
                  <c:v>12.726146</c:v>
                </c:pt>
                <c:pt idx="905">
                  <c:v>14.548684</c:v>
                </c:pt>
                <c:pt idx="906">
                  <c:v>16.136040000000001</c:v>
                </c:pt>
                <c:pt idx="907">
                  <c:v>34.401710000000001</c:v>
                </c:pt>
                <c:pt idx="908">
                  <c:v>11.037317</c:v>
                </c:pt>
                <c:pt idx="909">
                  <c:v>11.485697</c:v>
                </c:pt>
                <c:pt idx="910">
                  <c:v>11.087204</c:v>
                </c:pt>
                <c:pt idx="911">
                  <c:v>8.0235249999999994</c:v>
                </c:pt>
                <c:pt idx="912">
                  <c:v>6.2550270000000001</c:v>
                </c:pt>
                <c:pt idx="913">
                  <c:v>6.8516149999999998</c:v>
                </c:pt>
                <c:pt idx="914">
                  <c:v>6.6764910000000004</c:v>
                </c:pt>
                <c:pt idx="915">
                  <c:v>8.7118160000000007</c:v>
                </c:pt>
                <c:pt idx="916">
                  <c:v>11.478317000000001</c:v>
                </c:pt>
                <c:pt idx="917">
                  <c:v>7.6401320000000004</c:v>
                </c:pt>
                <c:pt idx="918">
                  <c:v>7.6722149999999996</c:v>
                </c:pt>
                <c:pt idx="919">
                  <c:v>6.340427</c:v>
                </c:pt>
                <c:pt idx="920">
                  <c:v>8.1042369999999995</c:v>
                </c:pt>
                <c:pt idx="921">
                  <c:v>9.8202440000000006</c:v>
                </c:pt>
                <c:pt idx="922">
                  <c:v>9.9549210000000006</c:v>
                </c:pt>
                <c:pt idx="923">
                  <c:v>7.3341339999999997</c:v>
                </c:pt>
                <c:pt idx="924">
                  <c:v>10.959783</c:v>
                </c:pt>
                <c:pt idx="925">
                  <c:v>9.3218589999999999</c:v>
                </c:pt>
                <c:pt idx="926">
                  <c:v>20.449543999999999</c:v>
                </c:pt>
                <c:pt idx="927">
                  <c:v>16.618113999999998</c:v>
                </c:pt>
                <c:pt idx="928">
                  <c:v>6.174137</c:v>
                </c:pt>
                <c:pt idx="929">
                  <c:v>7.0776690000000002</c:v>
                </c:pt>
                <c:pt idx="930">
                  <c:v>5.4308940000000003</c:v>
                </c:pt>
                <c:pt idx="931">
                  <c:v>7.5598429999999999</c:v>
                </c:pt>
                <c:pt idx="932">
                  <c:v>5.8862449999999997</c:v>
                </c:pt>
                <c:pt idx="933">
                  <c:v>11.117081000000001</c:v>
                </c:pt>
                <c:pt idx="934">
                  <c:v>7.4956849999999999</c:v>
                </c:pt>
                <c:pt idx="935">
                  <c:v>13.657427999999999</c:v>
                </c:pt>
                <c:pt idx="936">
                  <c:v>10.038169999999999</c:v>
                </c:pt>
                <c:pt idx="937">
                  <c:v>12.157425</c:v>
                </c:pt>
                <c:pt idx="938">
                  <c:v>10.720884</c:v>
                </c:pt>
                <c:pt idx="939">
                  <c:v>14.224356</c:v>
                </c:pt>
                <c:pt idx="940">
                  <c:v>23.224755999999999</c:v>
                </c:pt>
                <c:pt idx="941">
                  <c:v>20.438651</c:v>
                </c:pt>
                <c:pt idx="942">
                  <c:v>24.828458000000001</c:v>
                </c:pt>
                <c:pt idx="943">
                  <c:v>20.147061000000001</c:v>
                </c:pt>
                <c:pt idx="944">
                  <c:v>11.660648</c:v>
                </c:pt>
                <c:pt idx="945">
                  <c:v>8.3571810000000006</c:v>
                </c:pt>
                <c:pt idx="946">
                  <c:v>11.691602</c:v>
                </c:pt>
                <c:pt idx="947">
                  <c:v>14.463418000000001</c:v>
                </c:pt>
                <c:pt idx="948">
                  <c:v>10.066136</c:v>
                </c:pt>
                <c:pt idx="949">
                  <c:v>13.085008999999999</c:v>
                </c:pt>
                <c:pt idx="950">
                  <c:v>6.3031730000000001</c:v>
                </c:pt>
                <c:pt idx="951">
                  <c:v>6.9235579999999999</c:v>
                </c:pt>
                <c:pt idx="952">
                  <c:v>5.635224</c:v>
                </c:pt>
                <c:pt idx="953">
                  <c:v>5.4666620000000004</c:v>
                </c:pt>
                <c:pt idx="954">
                  <c:v>6.5163080000000004</c:v>
                </c:pt>
                <c:pt idx="955">
                  <c:v>7.4577650000000002</c:v>
                </c:pt>
                <c:pt idx="956">
                  <c:v>7.4265629999999998</c:v>
                </c:pt>
                <c:pt idx="957">
                  <c:v>8.6173889999999993</c:v>
                </c:pt>
                <c:pt idx="958">
                  <c:v>9.7178939999999994</c:v>
                </c:pt>
                <c:pt idx="959">
                  <c:v>12.848281</c:v>
                </c:pt>
                <c:pt idx="960">
                  <c:v>9.3998299999999997</c:v>
                </c:pt>
                <c:pt idx="961">
                  <c:v>12.30067</c:v>
                </c:pt>
                <c:pt idx="962">
                  <c:v>10.939178999999999</c:v>
                </c:pt>
                <c:pt idx="963">
                  <c:v>10.776387</c:v>
                </c:pt>
                <c:pt idx="964">
                  <c:v>10.802708000000001</c:v>
                </c:pt>
                <c:pt idx="965">
                  <c:v>13.478899</c:v>
                </c:pt>
                <c:pt idx="966">
                  <c:v>15.457534000000001</c:v>
                </c:pt>
                <c:pt idx="967">
                  <c:v>12.3192</c:v>
                </c:pt>
                <c:pt idx="968">
                  <c:v>17.765523999999999</c:v>
                </c:pt>
                <c:pt idx="969">
                  <c:v>34.927773999999999</c:v>
                </c:pt>
                <c:pt idx="970">
                  <c:v>38.088158</c:v>
                </c:pt>
                <c:pt idx="971">
                  <c:v>8.8125009999999993</c:v>
                </c:pt>
                <c:pt idx="972">
                  <c:v>10.68906</c:v>
                </c:pt>
                <c:pt idx="973">
                  <c:v>8.5053999999999998</c:v>
                </c:pt>
                <c:pt idx="974">
                  <c:v>7.74627</c:v>
                </c:pt>
                <c:pt idx="975">
                  <c:v>24.055886000000001</c:v>
                </c:pt>
                <c:pt idx="976">
                  <c:v>19.680557</c:v>
                </c:pt>
                <c:pt idx="977">
                  <c:v>16.302341999999999</c:v>
                </c:pt>
                <c:pt idx="978">
                  <c:v>5.1965380000000003</c:v>
                </c:pt>
                <c:pt idx="979">
                  <c:v>5.2945630000000001</c:v>
                </c:pt>
                <c:pt idx="980">
                  <c:v>7.2522789999999997</c:v>
                </c:pt>
                <c:pt idx="981">
                  <c:v>9.5957869999999996</c:v>
                </c:pt>
                <c:pt idx="982">
                  <c:v>10.454143</c:v>
                </c:pt>
                <c:pt idx="983">
                  <c:v>7.955578</c:v>
                </c:pt>
                <c:pt idx="984">
                  <c:v>11.312955000000001</c:v>
                </c:pt>
                <c:pt idx="985">
                  <c:v>9.7059060000000006</c:v>
                </c:pt>
                <c:pt idx="986">
                  <c:v>8.5508600000000001</c:v>
                </c:pt>
                <c:pt idx="987">
                  <c:v>5.5869799999999996</c:v>
                </c:pt>
                <c:pt idx="988">
                  <c:v>5.1197049999999997</c:v>
                </c:pt>
                <c:pt idx="989">
                  <c:v>3.969894</c:v>
                </c:pt>
                <c:pt idx="990">
                  <c:v>4.6455469999999996</c:v>
                </c:pt>
                <c:pt idx="991">
                  <c:v>6.9967290000000002</c:v>
                </c:pt>
                <c:pt idx="992">
                  <c:v>6.0288930000000001</c:v>
                </c:pt>
                <c:pt idx="993">
                  <c:v>6.8846829999999999</c:v>
                </c:pt>
                <c:pt idx="994">
                  <c:v>7.4895339999999999</c:v>
                </c:pt>
                <c:pt idx="995">
                  <c:v>10.116104</c:v>
                </c:pt>
                <c:pt idx="996">
                  <c:v>9.9346460000000008</c:v>
                </c:pt>
                <c:pt idx="997">
                  <c:v>7.8447050000000003</c:v>
                </c:pt>
                <c:pt idx="998">
                  <c:v>7.3091869999999997</c:v>
                </c:pt>
                <c:pt idx="999">
                  <c:v>7.6928879999999999</c:v>
                </c:pt>
                <c:pt idx="1000">
                  <c:v>8.6125120000000006</c:v>
                </c:pt>
                <c:pt idx="1001">
                  <c:v>13.634563</c:v>
                </c:pt>
                <c:pt idx="1002">
                  <c:v>5.5497430000000003</c:v>
                </c:pt>
                <c:pt idx="1003">
                  <c:v>7.0213950000000001</c:v>
                </c:pt>
                <c:pt idx="1004">
                  <c:v>11.670826</c:v>
                </c:pt>
                <c:pt idx="1005">
                  <c:v>15.123987</c:v>
                </c:pt>
                <c:pt idx="1006">
                  <c:v>8.0227850000000007</c:v>
                </c:pt>
                <c:pt idx="1007">
                  <c:v>9.5059850000000008</c:v>
                </c:pt>
                <c:pt idx="1008">
                  <c:v>8.6126009999999997</c:v>
                </c:pt>
                <c:pt idx="1009">
                  <c:v>16.184200000000001</c:v>
                </c:pt>
                <c:pt idx="1010">
                  <c:v>24.699808999999998</c:v>
                </c:pt>
                <c:pt idx="1011">
                  <c:v>12.084376000000001</c:v>
                </c:pt>
                <c:pt idx="1012">
                  <c:v>10.252753</c:v>
                </c:pt>
                <c:pt idx="1013">
                  <c:v>9.7604860000000002</c:v>
                </c:pt>
                <c:pt idx="1014">
                  <c:v>11.463429</c:v>
                </c:pt>
                <c:pt idx="1015">
                  <c:v>16.575348000000002</c:v>
                </c:pt>
                <c:pt idx="1016">
                  <c:v>16.741078999999999</c:v>
                </c:pt>
                <c:pt idx="1017">
                  <c:v>13.458109</c:v>
                </c:pt>
                <c:pt idx="1018">
                  <c:v>18.083445000000001</c:v>
                </c:pt>
                <c:pt idx="1019">
                  <c:v>8.9787630000000007</c:v>
                </c:pt>
                <c:pt idx="1020">
                  <c:v>12.849161</c:v>
                </c:pt>
                <c:pt idx="1021">
                  <c:v>9.372897</c:v>
                </c:pt>
                <c:pt idx="1022">
                  <c:v>6.1953589999999998</c:v>
                </c:pt>
                <c:pt idx="1023">
                  <c:v>10.844882999999999</c:v>
                </c:pt>
                <c:pt idx="1024">
                  <c:v>12.120207000000001</c:v>
                </c:pt>
                <c:pt idx="1025">
                  <c:v>13.872769999999999</c:v>
                </c:pt>
                <c:pt idx="1026">
                  <c:v>0.79343300000000005</c:v>
                </c:pt>
                <c:pt idx="1027">
                  <c:v>10.529505</c:v>
                </c:pt>
                <c:pt idx="1028">
                  <c:v>11.812106</c:v>
                </c:pt>
                <c:pt idx="1029">
                  <c:v>11.694853999999999</c:v>
                </c:pt>
                <c:pt idx="1030">
                  <c:v>21.343426999999998</c:v>
                </c:pt>
                <c:pt idx="1031">
                  <c:v>19.320926</c:v>
                </c:pt>
                <c:pt idx="1032">
                  <c:v>39.606414000000001</c:v>
                </c:pt>
                <c:pt idx="1033">
                  <c:v>16.771909000000001</c:v>
                </c:pt>
                <c:pt idx="1034">
                  <c:v>29.193770000000001</c:v>
                </c:pt>
                <c:pt idx="1035">
                  <c:v>10.64697</c:v>
                </c:pt>
                <c:pt idx="1036">
                  <c:v>7.4056389999999999</c:v>
                </c:pt>
                <c:pt idx="1037">
                  <c:v>9.0230669999999993</c:v>
                </c:pt>
                <c:pt idx="1038">
                  <c:v>10.633732</c:v>
                </c:pt>
                <c:pt idx="1039">
                  <c:v>11.014585</c:v>
                </c:pt>
                <c:pt idx="1040">
                  <c:v>7.1571160000000003</c:v>
                </c:pt>
                <c:pt idx="1041">
                  <c:v>4.3814140000000004</c:v>
                </c:pt>
                <c:pt idx="1042">
                  <c:v>5.0985019999999999</c:v>
                </c:pt>
                <c:pt idx="1043">
                  <c:v>4.4174550000000004</c:v>
                </c:pt>
                <c:pt idx="1044">
                  <c:v>4.2956859999999999</c:v>
                </c:pt>
                <c:pt idx="1045">
                  <c:v>6.6226979999999998</c:v>
                </c:pt>
                <c:pt idx="1046">
                  <c:v>5.092479</c:v>
                </c:pt>
                <c:pt idx="1047">
                  <c:v>3.9452240000000001</c:v>
                </c:pt>
                <c:pt idx="1048">
                  <c:v>5.8455269999999997</c:v>
                </c:pt>
                <c:pt idx="1049">
                  <c:v>6.0898950000000003</c:v>
                </c:pt>
                <c:pt idx="1050">
                  <c:v>9.1781869999999994</c:v>
                </c:pt>
                <c:pt idx="1051">
                  <c:v>14.241004</c:v>
                </c:pt>
                <c:pt idx="1052">
                  <c:v>7.3696799999999998</c:v>
                </c:pt>
                <c:pt idx="1053">
                  <c:v>7.7152589999999996</c:v>
                </c:pt>
                <c:pt idx="1054">
                  <c:v>5.1846259999999997</c:v>
                </c:pt>
                <c:pt idx="1055">
                  <c:v>9.0434920000000005</c:v>
                </c:pt>
                <c:pt idx="1056">
                  <c:v>4.3591420000000003</c:v>
                </c:pt>
                <c:pt idx="1057">
                  <c:v>7.8335610000000004</c:v>
                </c:pt>
                <c:pt idx="1058">
                  <c:v>6.3064840000000002</c:v>
                </c:pt>
                <c:pt idx="1059">
                  <c:v>14.641298000000001</c:v>
                </c:pt>
                <c:pt idx="1060">
                  <c:v>15.446510999999999</c:v>
                </c:pt>
                <c:pt idx="1061">
                  <c:v>4.0755920000000003</c:v>
                </c:pt>
                <c:pt idx="1062">
                  <c:v>6.3012079999999999</c:v>
                </c:pt>
                <c:pt idx="1063">
                  <c:v>4.8144429999999998</c:v>
                </c:pt>
                <c:pt idx="1064">
                  <c:v>4.9093249999999999</c:v>
                </c:pt>
                <c:pt idx="1065">
                  <c:v>5.903035</c:v>
                </c:pt>
                <c:pt idx="1066">
                  <c:v>6.9269210000000001</c:v>
                </c:pt>
                <c:pt idx="1067">
                  <c:v>4.5391919999999999</c:v>
                </c:pt>
                <c:pt idx="1068">
                  <c:v>7.5097459999999998</c:v>
                </c:pt>
                <c:pt idx="1069">
                  <c:v>6.7996169999999996</c:v>
                </c:pt>
                <c:pt idx="1070">
                  <c:v>19.972194999999999</c:v>
                </c:pt>
                <c:pt idx="1071">
                  <c:v>12.11487</c:v>
                </c:pt>
                <c:pt idx="1072">
                  <c:v>12.517507</c:v>
                </c:pt>
                <c:pt idx="1073">
                  <c:v>5.8419670000000004</c:v>
                </c:pt>
                <c:pt idx="1074">
                  <c:v>6.4921550000000003</c:v>
                </c:pt>
                <c:pt idx="1075">
                  <c:v>6.7265090000000001</c:v>
                </c:pt>
                <c:pt idx="1076">
                  <c:v>4.5374350000000003</c:v>
                </c:pt>
                <c:pt idx="1077">
                  <c:v>3.6147610000000001</c:v>
                </c:pt>
                <c:pt idx="1078">
                  <c:v>6.0920360000000002</c:v>
                </c:pt>
                <c:pt idx="1079">
                  <c:v>5.3704599999999996</c:v>
                </c:pt>
                <c:pt idx="1080">
                  <c:v>5.5761099999999999</c:v>
                </c:pt>
                <c:pt idx="1081">
                  <c:v>3.9676290000000001</c:v>
                </c:pt>
                <c:pt idx="1082">
                  <c:v>4.239376</c:v>
                </c:pt>
                <c:pt idx="1083">
                  <c:v>3.5720809999999998</c:v>
                </c:pt>
                <c:pt idx="1084">
                  <c:v>6.429468</c:v>
                </c:pt>
                <c:pt idx="1085">
                  <c:v>8.3092480000000002</c:v>
                </c:pt>
                <c:pt idx="1086">
                  <c:v>6.0646880000000003</c:v>
                </c:pt>
                <c:pt idx="1087">
                  <c:v>6.5225989999999996</c:v>
                </c:pt>
                <c:pt idx="1088">
                  <c:v>7.2469910000000004</c:v>
                </c:pt>
                <c:pt idx="1089">
                  <c:v>9.7443489999999997</c:v>
                </c:pt>
                <c:pt idx="1090">
                  <c:v>9.2658389999999997</c:v>
                </c:pt>
                <c:pt idx="1091">
                  <c:v>6.8233449999999998</c:v>
                </c:pt>
                <c:pt idx="1092">
                  <c:v>10.358449999999999</c:v>
                </c:pt>
                <c:pt idx="1093">
                  <c:v>6.8556730000000003</c:v>
                </c:pt>
                <c:pt idx="1094">
                  <c:v>11.102486000000001</c:v>
                </c:pt>
                <c:pt idx="1095">
                  <c:v>15.441542999999999</c:v>
                </c:pt>
                <c:pt idx="1096">
                  <c:v>7.8909919999999998</c:v>
                </c:pt>
                <c:pt idx="1097">
                  <c:v>6.6044650000000003</c:v>
                </c:pt>
                <c:pt idx="1098">
                  <c:v>7.876163</c:v>
                </c:pt>
                <c:pt idx="1099">
                  <c:v>5.8157399999999999</c:v>
                </c:pt>
                <c:pt idx="1100">
                  <c:v>5.5544859999999998</c:v>
                </c:pt>
                <c:pt idx="1101">
                  <c:v>2.9135529999999998</c:v>
                </c:pt>
                <c:pt idx="1102">
                  <c:v>4.2398680000000004</c:v>
                </c:pt>
                <c:pt idx="1103">
                  <c:v>5.6219239999999999</c:v>
                </c:pt>
                <c:pt idx="1104">
                  <c:v>9.8109760000000001</c:v>
                </c:pt>
                <c:pt idx="1105">
                  <c:v>4.4754659999999999</c:v>
                </c:pt>
                <c:pt idx="1106">
                  <c:v>5.7821189999999998</c:v>
                </c:pt>
                <c:pt idx="1107">
                  <c:v>4.1882669999999997</c:v>
                </c:pt>
                <c:pt idx="1108">
                  <c:v>3.5733679999999999</c:v>
                </c:pt>
                <c:pt idx="1109">
                  <c:v>5.5294850000000002</c:v>
                </c:pt>
                <c:pt idx="1110">
                  <c:v>4.6800889999999997</c:v>
                </c:pt>
                <c:pt idx="1111">
                  <c:v>3.5576469999999998</c:v>
                </c:pt>
                <c:pt idx="1112">
                  <c:v>5.6956899999999999</c:v>
                </c:pt>
                <c:pt idx="1113">
                  <c:v>5.4599700000000002</c:v>
                </c:pt>
                <c:pt idx="1114">
                  <c:v>7.5006550000000001</c:v>
                </c:pt>
                <c:pt idx="1115">
                  <c:v>7.6727429999999996</c:v>
                </c:pt>
                <c:pt idx="1116">
                  <c:v>11.170037000000001</c:v>
                </c:pt>
                <c:pt idx="1117">
                  <c:v>5.313822</c:v>
                </c:pt>
                <c:pt idx="1118">
                  <c:v>6.154147</c:v>
                </c:pt>
                <c:pt idx="1119">
                  <c:v>6.727233</c:v>
                </c:pt>
                <c:pt idx="1120">
                  <c:v>6.4644969999999997</c:v>
                </c:pt>
                <c:pt idx="1121">
                  <c:v>8.1437919999999995</c:v>
                </c:pt>
                <c:pt idx="1122">
                  <c:v>6.6743290000000002</c:v>
                </c:pt>
                <c:pt idx="1123">
                  <c:v>8.614096</c:v>
                </c:pt>
                <c:pt idx="1124">
                  <c:v>9.6864899999999992</c:v>
                </c:pt>
                <c:pt idx="1125">
                  <c:v>5.1906699999999999</c:v>
                </c:pt>
                <c:pt idx="1126">
                  <c:v>4.8407590000000003</c:v>
                </c:pt>
                <c:pt idx="1127">
                  <c:v>7.7951249999999996</c:v>
                </c:pt>
                <c:pt idx="1128">
                  <c:v>8.0047259999999998</c:v>
                </c:pt>
                <c:pt idx="1129">
                  <c:v>6.4268150000000004</c:v>
                </c:pt>
                <c:pt idx="1130">
                  <c:v>6.9867280000000003</c:v>
                </c:pt>
                <c:pt idx="1131">
                  <c:v>10.336010999999999</c:v>
                </c:pt>
                <c:pt idx="1132">
                  <c:v>8.1705079999999999</c:v>
                </c:pt>
                <c:pt idx="1133">
                  <c:v>9.9730430000000005</c:v>
                </c:pt>
                <c:pt idx="1134">
                  <c:v>6.6602430000000004</c:v>
                </c:pt>
                <c:pt idx="1135">
                  <c:v>9.2750859999999999</c:v>
                </c:pt>
                <c:pt idx="1136">
                  <c:v>17.149692000000002</c:v>
                </c:pt>
                <c:pt idx="1137">
                  <c:v>23.040845999999998</c:v>
                </c:pt>
                <c:pt idx="1138">
                  <c:v>9.0810860000000009</c:v>
                </c:pt>
                <c:pt idx="1139">
                  <c:v>11.344260999999999</c:v>
                </c:pt>
                <c:pt idx="1140">
                  <c:v>15.716900000000001</c:v>
                </c:pt>
                <c:pt idx="1141">
                  <c:v>15.883692</c:v>
                </c:pt>
                <c:pt idx="1142">
                  <c:v>18.840413000000002</c:v>
                </c:pt>
                <c:pt idx="1143">
                  <c:v>20.244015999999998</c:v>
                </c:pt>
                <c:pt idx="1144">
                  <c:v>19.519055000000002</c:v>
                </c:pt>
                <c:pt idx="1145">
                  <c:v>12.099197</c:v>
                </c:pt>
                <c:pt idx="1146">
                  <c:v>9.3779679999999992</c:v>
                </c:pt>
                <c:pt idx="1147">
                  <c:v>10.856584</c:v>
                </c:pt>
                <c:pt idx="1148">
                  <c:v>12.736700000000001</c:v>
                </c:pt>
                <c:pt idx="1149">
                  <c:v>7.9804620000000002</c:v>
                </c:pt>
                <c:pt idx="1150">
                  <c:v>7.1319699999999999</c:v>
                </c:pt>
                <c:pt idx="1151">
                  <c:v>9.4849340000000009</c:v>
                </c:pt>
                <c:pt idx="1152">
                  <c:v>11.155033</c:v>
                </c:pt>
                <c:pt idx="1153">
                  <c:v>11.980155</c:v>
                </c:pt>
                <c:pt idx="1154">
                  <c:v>13.752878000000001</c:v>
                </c:pt>
                <c:pt idx="1155">
                  <c:v>23.011654</c:v>
                </c:pt>
                <c:pt idx="1156">
                  <c:v>25.939326999999999</c:v>
                </c:pt>
                <c:pt idx="1157">
                  <c:v>54.060586999999998</c:v>
                </c:pt>
                <c:pt idx="1158">
                  <c:v>46.559967</c:v>
                </c:pt>
                <c:pt idx="1159">
                  <c:v>21.646184000000002</c:v>
                </c:pt>
                <c:pt idx="1160">
                  <c:v>19.167767999999999</c:v>
                </c:pt>
                <c:pt idx="1161">
                  <c:v>19.385102</c:v>
                </c:pt>
                <c:pt idx="1162">
                  <c:v>12.296248</c:v>
                </c:pt>
                <c:pt idx="1163">
                  <c:v>17.292072000000001</c:v>
                </c:pt>
                <c:pt idx="1164">
                  <c:v>12.242521999999999</c:v>
                </c:pt>
                <c:pt idx="1165">
                  <c:v>15.195951000000001</c:v>
                </c:pt>
                <c:pt idx="1166">
                  <c:v>12.73765</c:v>
                </c:pt>
                <c:pt idx="1167">
                  <c:v>14.649540999999999</c:v>
                </c:pt>
                <c:pt idx="1168">
                  <c:v>12.509114</c:v>
                </c:pt>
                <c:pt idx="1169">
                  <c:v>9.0263980000000004</c:v>
                </c:pt>
                <c:pt idx="1170">
                  <c:v>14.433515</c:v>
                </c:pt>
                <c:pt idx="1171">
                  <c:v>12.062011</c:v>
                </c:pt>
                <c:pt idx="1172">
                  <c:v>16.239521</c:v>
                </c:pt>
                <c:pt idx="1173">
                  <c:v>13.090325999999999</c:v>
                </c:pt>
                <c:pt idx="1174">
                  <c:v>14.924620000000001</c:v>
                </c:pt>
                <c:pt idx="1175">
                  <c:v>25.965741999999999</c:v>
                </c:pt>
                <c:pt idx="1176">
                  <c:v>13.143312</c:v>
                </c:pt>
                <c:pt idx="1177">
                  <c:v>21.179279999999999</c:v>
                </c:pt>
                <c:pt idx="1178">
                  <c:v>14.379147</c:v>
                </c:pt>
                <c:pt idx="1179">
                  <c:v>15.949688</c:v>
                </c:pt>
                <c:pt idx="1180">
                  <c:v>14.80223</c:v>
                </c:pt>
                <c:pt idx="1181">
                  <c:v>20.377672</c:v>
                </c:pt>
                <c:pt idx="1182">
                  <c:v>12.261544000000001</c:v>
                </c:pt>
                <c:pt idx="1183">
                  <c:v>12.380976</c:v>
                </c:pt>
                <c:pt idx="1184">
                  <c:v>11.358574000000001</c:v>
                </c:pt>
                <c:pt idx="1185">
                  <c:v>22.466578999999999</c:v>
                </c:pt>
                <c:pt idx="1186">
                  <c:v>16.343306999999999</c:v>
                </c:pt>
                <c:pt idx="1187">
                  <c:v>13.37799</c:v>
                </c:pt>
                <c:pt idx="1188">
                  <c:v>18.951682999999999</c:v>
                </c:pt>
                <c:pt idx="1189">
                  <c:v>13.898555999999999</c:v>
                </c:pt>
                <c:pt idx="1190">
                  <c:v>16.358252</c:v>
                </c:pt>
                <c:pt idx="1191">
                  <c:v>16.896947000000001</c:v>
                </c:pt>
                <c:pt idx="1192">
                  <c:v>13.603790999999999</c:v>
                </c:pt>
                <c:pt idx="1193">
                  <c:v>14.503453</c:v>
                </c:pt>
                <c:pt idx="1194">
                  <c:v>14.301187000000001</c:v>
                </c:pt>
                <c:pt idx="1195">
                  <c:v>31.306177000000002</c:v>
                </c:pt>
                <c:pt idx="1196">
                  <c:v>26.635119</c:v>
                </c:pt>
                <c:pt idx="1197">
                  <c:v>11.207286</c:v>
                </c:pt>
                <c:pt idx="1198">
                  <c:v>16.804763000000001</c:v>
                </c:pt>
                <c:pt idx="1199">
                  <c:v>18.123201999999999</c:v>
                </c:pt>
                <c:pt idx="1200">
                  <c:v>15.634786999999999</c:v>
                </c:pt>
                <c:pt idx="1201">
                  <c:v>19.685663000000002</c:v>
                </c:pt>
                <c:pt idx="1202">
                  <c:v>16.956357000000001</c:v>
                </c:pt>
                <c:pt idx="1203">
                  <c:v>23.968942999999999</c:v>
                </c:pt>
                <c:pt idx="1204">
                  <c:v>20.648115000000001</c:v>
                </c:pt>
                <c:pt idx="1205">
                  <c:v>15.668442000000001</c:v>
                </c:pt>
                <c:pt idx="1206">
                  <c:v>11.89771</c:v>
                </c:pt>
                <c:pt idx="1207">
                  <c:v>15.140744</c:v>
                </c:pt>
                <c:pt idx="1208">
                  <c:v>22.307807</c:v>
                </c:pt>
                <c:pt idx="1209">
                  <c:v>15.662890000000001</c:v>
                </c:pt>
                <c:pt idx="1210">
                  <c:v>31.121503000000001</c:v>
                </c:pt>
                <c:pt idx="1211">
                  <c:v>20.490289000000001</c:v>
                </c:pt>
                <c:pt idx="1212">
                  <c:v>23.541360999999998</c:v>
                </c:pt>
                <c:pt idx="1213">
                  <c:v>28.703320000000001</c:v>
                </c:pt>
                <c:pt idx="1214">
                  <c:v>30.64827</c:v>
                </c:pt>
                <c:pt idx="1215">
                  <c:v>31.273251999999999</c:v>
                </c:pt>
                <c:pt idx="1216">
                  <c:v>64.303974999999994</c:v>
                </c:pt>
                <c:pt idx="1217">
                  <c:v>24.462588</c:v>
                </c:pt>
                <c:pt idx="1218">
                  <c:v>21.325344999999999</c:v>
                </c:pt>
                <c:pt idx="1219">
                  <c:v>21.392223000000001</c:v>
                </c:pt>
                <c:pt idx="1220">
                  <c:v>15.849437999999999</c:v>
                </c:pt>
                <c:pt idx="1221">
                  <c:v>9.9806139999999992</c:v>
                </c:pt>
                <c:pt idx="1222">
                  <c:v>9.0105389999999996</c:v>
                </c:pt>
                <c:pt idx="1223">
                  <c:v>13.460603000000001</c:v>
                </c:pt>
                <c:pt idx="1224">
                  <c:v>12.339771000000001</c:v>
                </c:pt>
                <c:pt idx="1225">
                  <c:v>9.3375029999999999</c:v>
                </c:pt>
                <c:pt idx="1226">
                  <c:v>15.645903000000001</c:v>
                </c:pt>
                <c:pt idx="1227">
                  <c:v>13.301893</c:v>
                </c:pt>
                <c:pt idx="1228">
                  <c:v>7.9283650000000003</c:v>
                </c:pt>
                <c:pt idx="1229">
                  <c:v>12.272793999999999</c:v>
                </c:pt>
                <c:pt idx="1230">
                  <c:v>17.88757</c:v>
                </c:pt>
                <c:pt idx="1231">
                  <c:v>20.829644999999999</c:v>
                </c:pt>
                <c:pt idx="1232">
                  <c:v>37.973962999999998</c:v>
                </c:pt>
                <c:pt idx="1233">
                  <c:v>14.068156</c:v>
                </c:pt>
                <c:pt idx="1234">
                  <c:v>6.0470620000000004</c:v>
                </c:pt>
                <c:pt idx="1235">
                  <c:v>12.306502</c:v>
                </c:pt>
                <c:pt idx="1236">
                  <c:v>10.262221</c:v>
                </c:pt>
                <c:pt idx="1237">
                  <c:v>13.765454</c:v>
                </c:pt>
                <c:pt idx="1238">
                  <c:v>8.4445060000000005</c:v>
                </c:pt>
              </c:numCache>
            </c:numRef>
          </c:val>
          <c:extLst>
            <c:ext xmlns:c16="http://schemas.microsoft.com/office/drawing/2014/chart" uri="{C3380CC4-5D6E-409C-BE32-E72D297353CC}">
              <c16:uniqueId val="{00000000-3F52-4D38-AE6B-D949C9CA1289}"/>
            </c:ext>
          </c:extLst>
        </c:ser>
        <c:dLbls>
          <c:showLegendKey val="0"/>
          <c:showVal val="0"/>
          <c:showCatName val="0"/>
          <c:showSerName val="0"/>
          <c:showPercent val="0"/>
          <c:showBubbleSize val="0"/>
        </c:dLbls>
        <c:gapWidth val="100"/>
        <c:overlap val="-24"/>
        <c:axId val="119562304"/>
        <c:axId val="119569024"/>
      </c:barChart>
      <c:dateAx>
        <c:axId val="11956230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569024"/>
        <c:crosses val="autoZero"/>
        <c:auto val="1"/>
        <c:lblOffset val="100"/>
        <c:baseTimeUnit val="days"/>
      </c:dateAx>
      <c:valAx>
        <c:axId val="119569024"/>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56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17869641294838"/>
          <c:y val="5.5555555555555552E-2"/>
          <c:w val="0.77184208223972006"/>
          <c:h val="0.8416746864975212"/>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4-1013-4AB9-BCC7-FF9874100B6D}"/>
              </c:ext>
            </c:extLst>
          </c:dPt>
          <c:dPt>
            <c:idx val="1"/>
            <c:invertIfNegative val="0"/>
            <c:bubble3D val="0"/>
            <c:spPr>
              <a:solidFill>
                <a:schemeClr val="accent3">
                  <a:lumMod val="50000"/>
                </a:schemeClr>
              </a:solidFill>
              <a:ln>
                <a:noFill/>
              </a:ln>
              <a:effectLst/>
            </c:spPr>
            <c:extLst>
              <c:ext xmlns:c16="http://schemas.microsoft.com/office/drawing/2014/chart" uri="{C3380CC4-5D6E-409C-BE32-E72D297353CC}">
                <c16:uniqueId val="{00000003-1013-4AB9-BCC7-FF9874100B6D}"/>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2-1013-4AB9-BCC7-FF9874100B6D}"/>
              </c:ext>
            </c:extLst>
          </c:dPt>
          <c:dPt>
            <c:idx val="3"/>
            <c:invertIfNegative val="0"/>
            <c:bubble3D val="0"/>
            <c:spPr>
              <a:solidFill>
                <a:schemeClr val="bg1">
                  <a:lumMod val="75000"/>
                </a:schemeClr>
              </a:solidFill>
              <a:ln>
                <a:noFill/>
              </a:ln>
              <a:effectLst/>
            </c:spPr>
            <c:extLst>
              <c:ext xmlns:c16="http://schemas.microsoft.com/office/drawing/2014/chart" uri="{C3380CC4-5D6E-409C-BE32-E72D297353CC}">
                <c16:uniqueId val="{00000001-1013-4AB9-BCC7-FF9874100B6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 SHEET'!$S$869:$S$872</c:f>
              <c:strCache>
                <c:ptCount val="4"/>
                <c:pt idx="0">
                  <c:v>PROMOTER</c:v>
                </c:pt>
                <c:pt idx="1">
                  <c:v>FII</c:v>
                </c:pt>
                <c:pt idx="2">
                  <c:v>DII</c:v>
                </c:pt>
                <c:pt idx="3">
                  <c:v>PUBLIC</c:v>
                </c:pt>
              </c:strCache>
            </c:strRef>
          </c:cat>
          <c:val>
            <c:numRef>
              <c:f>'INPUT SHEET'!$T$869:$T$872</c:f>
              <c:numCache>
                <c:formatCode>0.00%</c:formatCode>
                <c:ptCount val="4"/>
                <c:pt idx="0">
                  <c:v>8.1600000000000006E-2</c:v>
                </c:pt>
                <c:pt idx="1">
                  <c:v>0.41889999999999999</c:v>
                </c:pt>
                <c:pt idx="2">
                  <c:v>0.42820000000000003</c:v>
                </c:pt>
                <c:pt idx="3">
                  <c:v>7.0599999999999996E-2</c:v>
                </c:pt>
              </c:numCache>
            </c:numRef>
          </c:val>
          <c:extLst>
            <c:ext xmlns:c16="http://schemas.microsoft.com/office/drawing/2014/chart" uri="{C3380CC4-5D6E-409C-BE32-E72D297353CC}">
              <c16:uniqueId val="{00000000-1013-4AB9-BCC7-FF9874100B6D}"/>
            </c:ext>
          </c:extLst>
        </c:ser>
        <c:dLbls>
          <c:dLblPos val="outEnd"/>
          <c:showLegendKey val="0"/>
          <c:showVal val="1"/>
          <c:showCatName val="0"/>
          <c:showSerName val="0"/>
          <c:showPercent val="0"/>
          <c:showBubbleSize val="0"/>
        </c:dLbls>
        <c:gapWidth val="182"/>
        <c:axId val="596145568"/>
        <c:axId val="596154688"/>
      </c:barChart>
      <c:catAx>
        <c:axId val="59614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54688"/>
        <c:crosses val="autoZero"/>
        <c:auto val="1"/>
        <c:lblAlgn val="ctr"/>
        <c:lblOffset val="100"/>
        <c:noMultiLvlLbl val="0"/>
      </c:catAx>
      <c:valAx>
        <c:axId val="59615468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455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'INPUT SHEET'!$G$3</c:f>
              <c:strCache>
                <c:ptCount val="1"/>
                <c:pt idx="0">
                  <c:v>Price</c:v>
                </c:pt>
              </c:strCache>
            </c:strRef>
          </c:tx>
          <c:spPr>
            <a:ln w="28575" cap="rnd">
              <a:solidFill>
                <a:schemeClr val="accent3">
                  <a:lumMod val="75000"/>
                </a:schemeClr>
              </a:solidFill>
              <a:round/>
            </a:ln>
            <a:effectLst/>
          </c:spPr>
          <c:marker>
            <c:symbol val="none"/>
          </c:marker>
          <c:cat>
            <c:numRef>
              <c:f>'INPUT SHEET'!$D$4:$D$1242</c:f>
              <c:numCache>
                <c:formatCode>d\-mmm\-yy</c:formatCode>
                <c:ptCount val="1239"/>
                <c:pt idx="0">
                  <c:v>46014</c:v>
                </c:pt>
                <c:pt idx="1">
                  <c:v>46013</c:v>
                </c:pt>
                <c:pt idx="2">
                  <c:v>46010</c:v>
                </c:pt>
                <c:pt idx="3">
                  <c:v>46009</c:v>
                </c:pt>
                <c:pt idx="4">
                  <c:v>46008</c:v>
                </c:pt>
                <c:pt idx="5">
                  <c:v>46007</c:v>
                </c:pt>
                <c:pt idx="6">
                  <c:v>46006</c:v>
                </c:pt>
                <c:pt idx="7">
                  <c:v>46003</c:v>
                </c:pt>
                <c:pt idx="8">
                  <c:v>46002</c:v>
                </c:pt>
                <c:pt idx="9">
                  <c:v>46001</c:v>
                </c:pt>
                <c:pt idx="10">
                  <c:v>46000</c:v>
                </c:pt>
                <c:pt idx="11">
                  <c:v>45999</c:v>
                </c:pt>
                <c:pt idx="12">
                  <c:v>45996</c:v>
                </c:pt>
                <c:pt idx="13">
                  <c:v>45995</c:v>
                </c:pt>
                <c:pt idx="14">
                  <c:v>45994</c:v>
                </c:pt>
                <c:pt idx="15">
                  <c:v>45993</c:v>
                </c:pt>
                <c:pt idx="16">
                  <c:v>45992</c:v>
                </c:pt>
                <c:pt idx="17">
                  <c:v>45989</c:v>
                </c:pt>
                <c:pt idx="18">
                  <c:v>45988</c:v>
                </c:pt>
                <c:pt idx="19">
                  <c:v>45987</c:v>
                </c:pt>
                <c:pt idx="20">
                  <c:v>45986</c:v>
                </c:pt>
                <c:pt idx="21">
                  <c:v>45985</c:v>
                </c:pt>
                <c:pt idx="22">
                  <c:v>45982</c:v>
                </c:pt>
                <c:pt idx="23">
                  <c:v>45981</c:v>
                </c:pt>
                <c:pt idx="24">
                  <c:v>45980</c:v>
                </c:pt>
                <c:pt idx="25">
                  <c:v>45979</c:v>
                </c:pt>
                <c:pt idx="26">
                  <c:v>45978</c:v>
                </c:pt>
                <c:pt idx="27">
                  <c:v>45975</c:v>
                </c:pt>
                <c:pt idx="28">
                  <c:v>45974</c:v>
                </c:pt>
                <c:pt idx="29">
                  <c:v>45973</c:v>
                </c:pt>
                <c:pt idx="30">
                  <c:v>45972</c:v>
                </c:pt>
                <c:pt idx="31">
                  <c:v>45971</c:v>
                </c:pt>
                <c:pt idx="32">
                  <c:v>45968</c:v>
                </c:pt>
                <c:pt idx="33">
                  <c:v>45967</c:v>
                </c:pt>
                <c:pt idx="34">
                  <c:v>45965</c:v>
                </c:pt>
                <c:pt idx="35">
                  <c:v>45964</c:v>
                </c:pt>
                <c:pt idx="36">
                  <c:v>45961</c:v>
                </c:pt>
                <c:pt idx="37">
                  <c:v>45960</c:v>
                </c:pt>
                <c:pt idx="38">
                  <c:v>45959</c:v>
                </c:pt>
                <c:pt idx="39">
                  <c:v>45958</c:v>
                </c:pt>
                <c:pt idx="40">
                  <c:v>45957</c:v>
                </c:pt>
                <c:pt idx="41">
                  <c:v>45954</c:v>
                </c:pt>
                <c:pt idx="42">
                  <c:v>45953</c:v>
                </c:pt>
                <c:pt idx="43">
                  <c:v>45951</c:v>
                </c:pt>
                <c:pt idx="44">
                  <c:v>45950</c:v>
                </c:pt>
                <c:pt idx="45">
                  <c:v>45947</c:v>
                </c:pt>
                <c:pt idx="46">
                  <c:v>45946</c:v>
                </c:pt>
                <c:pt idx="47">
                  <c:v>45945</c:v>
                </c:pt>
                <c:pt idx="48">
                  <c:v>45944</c:v>
                </c:pt>
                <c:pt idx="49">
                  <c:v>45943</c:v>
                </c:pt>
                <c:pt idx="50">
                  <c:v>45940</c:v>
                </c:pt>
                <c:pt idx="51">
                  <c:v>45939</c:v>
                </c:pt>
                <c:pt idx="52">
                  <c:v>45938</c:v>
                </c:pt>
                <c:pt idx="53">
                  <c:v>45937</c:v>
                </c:pt>
                <c:pt idx="54">
                  <c:v>45936</c:v>
                </c:pt>
                <c:pt idx="55">
                  <c:v>45933</c:v>
                </c:pt>
                <c:pt idx="56">
                  <c:v>45931</c:v>
                </c:pt>
                <c:pt idx="57">
                  <c:v>45930</c:v>
                </c:pt>
                <c:pt idx="58">
                  <c:v>45929</c:v>
                </c:pt>
                <c:pt idx="59">
                  <c:v>45926</c:v>
                </c:pt>
                <c:pt idx="60">
                  <c:v>45925</c:v>
                </c:pt>
                <c:pt idx="61">
                  <c:v>45924</c:v>
                </c:pt>
                <c:pt idx="62">
                  <c:v>45923</c:v>
                </c:pt>
                <c:pt idx="63">
                  <c:v>45922</c:v>
                </c:pt>
                <c:pt idx="64">
                  <c:v>45919</c:v>
                </c:pt>
                <c:pt idx="65">
                  <c:v>45918</c:v>
                </c:pt>
                <c:pt idx="66">
                  <c:v>45917</c:v>
                </c:pt>
                <c:pt idx="67">
                  <c:v>45916</c:v>
                </c:pt>
                <c:pt idx="68">
                  <c:v>45915</c:v>
                </c:pt>
                <c:pt idx="69">
                  <c:v>45912</c:v>
                </c:pt>
                <c:pt idx="70">
                  <c:v>45911</c:v>
                </c:pt>
                <c:pt idx="71">
                  <c:v>45910</c:v>
                </c:pt>
                <c:pt idx="72">
                  <c:v>45909</c:v>
                </c:pt>
                <c:pt idx="73">
                  <c:v>45908</c:v>
                </c:pt>
                <c:pt idx="74">
                  <c:v>45905</c:v>
                </c:pt>
                <c:pt idx="75">
                  <c:v>45904</c:v>
                </c:pt>
                <c:pt idx="76">
                  <c:v>45903</c:v>
                </c:pt>
                <c:pt idx="77">
                  <c:v>45902</c:v>
                </c:pt>
                <c:pt idx="78">
                  <c:v>45901</c:v>
                </c:pt>
                <c:pt idx="79">
                  <c:v>45898</c:v>
                </c:pt>
                <c:pt idx="80">
                  <c:v>45897</c:v>
                </c:pt>
                <c:pt idx="81">
                  <c:v>45895</c:v>
                </c:pt>
                <c:pt idx="82">
                  <c:v>45894</c:v>
                </c:pt>
                <c:pt idx="83">
                  <c:v>45891</c:v>
                </c:pt>
                <c:pt idx="84">
                  <c:v>45890</c:v>
                </c:pt>
                <c:pt idx="85">
                  <c:v>45889</c:v>
                </c:pt>
                <c:pt idx="86">
                  <c:v>45888</c:v>
                </c:pt>
                <c:pt idx="87">
                  <c:v>45887</c:v>
                </c:pt>
                <c:pt idx="88">
                  <c:v>45883</c:v>
                </c:pt>
                <c:pt idx="89">
                  <c:v>45882</c:v>
                </c:pt>
                <c:pt idx="90">
                  <c:v>45881</c:v>
                </c:pt>
                <c:pt idx="91">
                  <c:v>45880</c:v>
                </c:pt>
                <c:pt idx="92">
                  <c:v>45877</c:v>
                </c:pt>
                <c:pt idx="93">
                  <c:v>45876</c:v>
                </c:pt>
                <c:pt idx="94">
                  <c:v>45875</c:v>
                </c:pt>
                <c:pt idx="95">
                  <c:v>45874</c:v>
                </c:pt>
                <c:pt idx="96">
                  <c:v>45873</c:v>
                </c:pt>
                <c:pt idx="97">
                  <c:v>45870</c:v>
                </c:pt>
                <c:pt idx="98">
                  <c:v>45869</c:v>
                </c:pt>
                <c:pt idx="99">
                  <c:v>45868</c:v>
                </c:pt>
                <c:pt idx="100">
                  <c:v>45867</c:v>
                </c:pt>
                <c:pt idx="101">
                  <c:v>45866</c:v>
                </c:pt>
                <c:pt idx="102">
                  <c:v>45863</c:v>
                </c:pt>
                <c:pt idx="103">
                  <c:v>45862</c:v>
                </c:pt>
                <c:pt idx="104">
                  <c:v>45861</c:v>
                </c:pt>
                <c:pt idx="105">
                  <c:v>45860</c:v>
                </c:pt>
                <c:pt idx="106">
                  <c:v>45859</c:v>
                </c:pt>
                <c:pt idx="107">
                  <c:v>45856</c:v>
                </c:pt>
                <c:pt idx="108">
                  <c:v>45855</c:v>
                </c:pt>
                <c:pt idx="109">
                  <c:v>45854</c:v>
                </c:pt>
                <c:pt idx="110">
                  <c:v>45853</c:v>
                </c:pt>
                <c:pt idx="111">
                  <c:v>45852</c:v>
                </c:pt>
                <c:pt idx="112">
                  <c:v>45849</c:v>
                </c:pt>
                <c:pt idx="113">
                  <c:v>45848</c:v>
                </c:pt>
                <c:pt idx="114">
                  <c:v>45847</c:v>
                </c:pt>
                <c:pt idx="115">
                  <c:v>45846</c:v>
                </c:pt>
                <c:pt idx="116">
                  <c:v>45845</c:v>
                </c:pt>
                <c:pt idx="117">
                  <c:v>45842</c:v>
                </c:pt>
                <c:pt idx="118">
                  <c:v>45841</c:v>
                </c:pt>
                <c:pt idx="119">
                  <c:v>45840</c:v>
                </c:pt>
                <c:pt idx="120">
                  <c:v>45839</c:v>
                </c:pt>
                <c:pt idx="121">
                  <c:v>45838</c:v>
                </c:pt>
                <c:pt idx="122">
                  <c:v>45835</c:v>
                </c:pt>
                <c:pt idx="123">
                  <c:v>45834</c:v>
                </c:pt>
                <c:pt idx="124">
                  <c:v>45833</c:v>
                </c:pt>
                <c:pt idx="125">
                  <c:v>45832</c:v>
                </c:pt>
                <c:pt idx="126">
                  <c:v>45831</c:v>
                </c:pt>
                <c:pt idx="127">
                  <c:v>45828</c:v>
                </c:pt>
                <c:pt idx="128">
                  <c:v>45827</c:v>
                </c:pt>
                <c:pt idx="129">
                  <c:v>45826</c:v>
                </c:pt>
                <c:pt idx="130">
                  <c:v>45825</c:v>
                </c:pt>
                <c:pt idx="131">
                  <c:v>45824</c:v>
                </c:pt>
                <c:pt idx="132">
                  <c:v>45821</c:v>
                </c:pt>
                <c:pt idx="133">
                  <c:v>45820</c:v>
                </c:pt>
                <c:pt idx="134">
                  <c:v>45819</c:v>
                </c:pt>
                <c:pt idx="135">
                  <c:v>45818</c:v>
                </c:pt>
                <c:pt idx="136">
                  <c:v>45817</c:v>
                </c:pt>
                <c:pt idx="137">
                  <c:v>45814</c:v>
                </c:pt>
                <c:pt idx="138">
                  <c:v>45813</c:v>
                </c:pt>
                <c:pt idx="139">
                  <c:v>45812</c:v>
                </c:pt>
                <c:pt idx="140">
                  <c:v>45811</c:v>
                </c:pt>
                <c:pt idx="141">
                  <c:v>45810</c:v>
                </c:pt>
                <c:pt idx="142">
                  <c:v>45807</c:v>
                </c:pt>
                <c:pt idx="143">
                  <c:v>45806</c:v>
                </c:pt>
                <c:pt idx="144">
                  <c:v>45805</c:v>
                </c:pt>
                <c:pt idx="145">
                  <c:v>45804</c:v>
                </c:pt>
                <c:pt idx="146">
                  <c:v>45803</c:v>
                </c:pt>
                <c:pt idx="147">
                  <c:v>45800</c:v>
                </c:pt>
                <c:pt idx="148">
                  <c:v>45799</c:v>
                </c:pt>
                <c:pt idx="149">
                  <c:v>45798</c:v>
                </c:pt>
                <c:pt idx="150">
                  <c:v>45797</c:v>
                </c:pt>
                <c:pt idx="151">
                  <c:v>45796</c:v>
                </c:pt>
                <c:pt idx="152">
                  <c:v>45793</c:v>
                </c:pt>
                <c:pt idx="153">
                  <c:v>45792</c:v>
                </c:pt>
                <c:pt idx="154">
                  <c:v>45791</c:v>
                </c:pt>
                <c:pt idx="155">
                  <c:v>45790</c:v>
                </c:pt>
                <c:pt idx="156">
                  <c:v>45789</c:v>
                </c:pt>
                <c:pt idx="157">
                  <c:v>45786</c:v>
                </c:pt>
                <c:pt idx="158">
                  <c:v>45785</c:v>
                </c:pt>
                <c:pt idx="159">
                  <c:v>45784</c:v>
                </c:pt>
                <c:pt idx="160">
                  <c:v>45783</c:v>
                </c:pt>
                <c:pt idx="161">
                  <c:v>45782</c:v>
                </c:pt>
                <c:pt idx="162">
                  <c:v>45779</c:v>
                </c:pt>
                <c:pt idx="163">
                  <c:v>45777</c:v>
                </c:pt>
                <c:pt idx="164">
                  <c:v>45776</c:v>
                </c:pt>
                <c:pt idx="165">
                  <c:v>45775</c:v>
                </c:pt>
                <c:pt idx="166">
                  <c:v>45772</c:v>
                </c:pt>
                <c:pt idx="167">
                  <c:v>45771</c:v>
                </c:pt>
                <c:pt idx="168">
                  <c:v>45770</c:v>
                </c:pt>
                <c:pt idx="169">
                  <c:v>45769</c:v>
                </c:pt>
                <c:pt idx="170">
                  <c:v>45768</c:v>
                </c:pt>
                <c:pt idx="171">
                  <c:v>45764</c:v>
                </c:pt>
                <c:pt idx="172">
                  <c:v>45763</c:v>
                </c:pt>
                <c:pt idx="173">
                  <c:v>45762</c:v>
                </c:pt>
                <c:pt idx="174">
                  <c:v>45758</c:v>
                </c:pt>
                <c:pt idx="175">
                  <c:v>45756</c:v>
                </c:pt>
                <c:pt idx="176">
                  <c:v>45755</c:v>
                </c:pt>
                <c:pt idx="177">
                  <c:v>45754</c:v>
                </c:pt>
                <c:pt idx="178">
                  <c:v>45751</c:v>
                </c:pt>
                <c:pt idx="179">
                  <c:v>45750</c:v>
                </c:pt>
                <c:pt idx="180">
                  <c:v>45749</c:v>
                </c:pt>
                <c:pt idx="181">
                  <c:v>45748</c:v>
                </c:pt>
                <c:pt idx="182">
                  <c:v>45744</c:v>
                </c:pt>
                <c:pt idx="183">
                  <c:v>45743</c:v>
                </c:pt>
                <c:pt idx="184">
                  <c:v>45742</c:v>
                </c:pt>
                <c:pt idx="185">
                  <c:v>45741</c:v>
                </c:pt>
                <c:pt idx="186">
                  <c:v>45740</c:v>
                </c:pt>
                <c:pt idx="187">
                  <c:v>45737</c:v>
                </c:pt>
                <c:pt idx="188">
                  <c:v>45736</c:v>
                </c:pt>
                <c:pt idx="189">
                  <c:v>45735</c:v>
                </c:pt>
                <c:pt idx="190">
                  <c:v>45734</c:v>
                </c:pt>
                <c:pt idx="191">
                  <c:v>45733</c:v>
                </c:pt>
                <c:pt idx="192">
                  <c:v>45729</c:v>
                </c:pt>
                <c:pt idx="193">
                  <c:v>45728</c:v>
                </c:pt>
                <c:pt idx="194">
                  <c:v>45727</c:v>
                </c:pt>
                <c:pt idx="195">
                  <c:v>45726</c:v>
                </c:pt>
                <c:pt idx="196">
                  <c:v>45723</c:v>
                </c:pt>
                <c:pt idx="197">
                  <c:v>45722</c:v>
                </c:pt>
                <c:pt idx="198">
                  <c:v>45721</c:v>
                </c:pt>
                <c:pt idx="199">
                  <c:v>45720</c:v>
                </c:pt>
                <c:pt idx="200">
                  <c:v>45719</c:v>
                </c:pt>
                <c:pt idx="201">
                  <c:v>45716</c:v>
                </c:pt>
                <c:pt idx="202">
                  <c:v>45715</c:v>
                </c:pt>
                <c:pt idx="203">
                  <c:v>45713</c:v>
                </c:pt>
                <c:pt idx="204">
                  <c:v>45712</c:v>
                </c:pt>
                <c:pt idx="205">
                  <c:v>45709</c:v>
                </c:pt>
                <c:pt idx="206">
                  <c:v>45708</c:v>
                </c:pt>
                <c:pt idx="207">
                  <c:v>45707</c:v>
                </c:pt>
                <c:pt idx="208">
                  <c:v>45706</c:v>
                </c:pt>
                <c:pt idx="209">
                  <c:v>45705</c:v>
                </c:pt>
                <c:pt idx="210">
                  <c:v>45702</c:v>
                </c:pt>
                <c:pt idx="211">
                  <c:v>45701</c:v>
                </c:pt>
                <c:pt idx="212">
                  <c:v>45700</c:v>
                </c:pt>
                <c:pt idx="213">
                  <c:v>45699</c:v>
                </c:pt>
                <c:pt idx="214">
                  <c:v>45698</c:v>
                </c:pt>
                <c:pt idx="215">
                  <c:v>45695</c:v>
                </c:pt>
                <c:pt idx="216">
                  <c:v>45694</c:v>
                </c:pt>
                <c:pt idx="217">
                  <c:v>45693</c:v>
                </c:pt>
                <c:pt idx="218">
                  <c:v>45692</c:v>
                </c:pt>
                <c:pt idx="219">
                  <c:v>45691</c:v>
                </c:pt>
                <c:pt idx="220">
                  <c:v>45689</c:v>
                </c:pt>
                <c:pt idx="221">
                  <c:v>45688</c:v>
                </c:pt>
                <c:pt idx="222">
                  <c:v>45687</c:v>
                </c:pt>
                <c:pt idx="223">
                  <c:v>45686</c:v>
                </c:pt>
                <c:pt idx="224">
                  <c:v>45685</c:v>
                </c:pt>
                <c:pt idx="225">
                  <c:v>45684</c:v>
                </c:pt>
                <c:pt idx="226">
                  <c:v>45681</c:v>
                </c:pt>
                <c:pt idx="227">
                  <c:v>45680</c:v>
                </c:pt>
                <c:pt idx="228">
                  <c:v>45679</c:v>
                </c:pt>
                <c:pt idx="229">
                  <c:v>45678</c:v>
                </c:pt>
                <c:pt idx="230">
                  <c:v>45677</c:v>
                </c:pt>
                <c:pt idx="231">
                  <c:v>45674</c:v>
                </c:pt>
                <c:pt idx="232">
                  <c:v>45673</c:v>
                </c:pt>
                <c:pt idx="233">
                  <c:v>45672</c:v>
                </c:pt>
                <c:pt idx="234">
                  <c:v>45671</c:v>
                </c:pt>
                <c:pt idx="235">
                  <c:v>45670</c:v>
                </c:pt>
                <c:pt idx="236">
                  <c:v>45667</c:v>
                </c:pt>
                <c:pt idx="237">
                  <c:v>45666</c:v>
                </c:pt>
                <c:pt idx="238">
                  <c:v>45665</c:v>
                </c:pt>
                <c:pt idx="239">
                  <c:v>45664</c:v>
                </c:pt>
                <c:pt idx="240">
                  <c:v>45663</c:v>
                </c:pt>
                <c:pt idx="241">
                  <c:v>45660</c:v>
                </c:pt>
                <c:pt idx="242">
                  <c:v>45659</c:v>
                </c:pt>
                <c:pt idx="243">
                  <c:v>45658</c:v>
                </c:pt>
                <c:pt idx="244">
                  <c:v>45657</c:v>
                </c:pt>
                <c:pt idx="245">
                  <c:v>45656</c:v>
                </c:pt>
                <c:pt idx="246">
                  <c:v>45653</c:v>
                </c:pt>
                <c:pt idx="247">
                  <c:v>45652</c:v>
                </c:pt>
                <c:pt idx="248">
                  <c:v>45650</c:v>
                </c:pt>
                <c:pt idx="249">
                  <c:v>45649</c:v>
                </c:pt>
                <c:pt idx="250">
                  <c:v>45646</c:v>
                </c:pt>
                <c:pt idx="251">
                  <c:v>45645</c:v>
                </c:pt>
                <c:pt idx="252">
                  <c:v>45644</c:v>
                </c:pt>
                <c:pt idx="253">
                  <c:v>45643</c:v>
                </c:pt>
                <c:pt idx="254">
                  <c:v>45642</c:v>
                </c:pt>
                <c:pt idx="255">
                  <c:v>45639</c:v>
                </c:pt>
                <c:pt idx="256">
                  <c:v>45638</c:v>
                </c:pt>
                <c:pt idx="257">
                  <c:v>45637</c:v>
                </c:pt>
                <c:pt idx="258">
                  <c:v>45636</c:v>
                </c:pt>
                <c:pt idx="259">
                  <c:v>45635</c:v>
                </c:pt>
                <c:pt idx="260">
                  <c:v>45632</c:v>
                </c:pt>
                <c:pt idx="261">
                  <c:v>45631</c:v>
                </c:pt>
                <c:pt idx="262">
                  <c:v>45630</c:v>
                </c:pt>
                <c:pt idx="263">
                  <c:v>45629</c:v>
                </c:pt>
                <c:pt idx="264">
                  <c:v>45628</c:v>
                </c:pt>
                <c:pt idx="265">
                  <c:v>45625</c:v>
                </c:pt>
                <c:pt idx="266">
                  <c:v>45624</c:v>
                </c:pt>
                <c:pt idx="267">
                  <c:v>45623</c:v>
                </c:pt>
                <c:pt idx="268">
                  <c:v>45622</c:v>
                </c:pt>
                <c:pt idx="269">
                  <c:v>45621</c:v>
                </c:pt>
                <c:pt idx="270">
                  <c:v>45618</c:v>
                </c:pt>
                <c:pt idx="271">
                  <c:v>45617</c:v>
                </c:pt>
                <c:pt idx="272">
                  <c:v>45615</c:v>
                </c:pt>
                <c:pt idx="273">
                  <c:v>45614</c:v>
                </c:pt>
                <c:pt idx="274">
                  <c:v>45610</c:v>
                </c:pt>
                <c:pt idx="275">
                  <c:v>45609</c:v>
                </c:pt>
                <c:pt idx="276">
                  <c:v>45608</c:v>
                </c:pt>
                <c:pt idx="277">
                  <c:v>45607</c:v>
                </c:pt>
                <c:pt idx="278">
                  <c:v>45604</c:v>
                </c:pt>
                <c:pt idx="279">
                  <c:v>45603</c:v>
                </c:pt>
                <c:pt idx="280">
                  <c:v>45602</c:v>
                </c:pt>
                <c:pt idx="281">
                  <c:v>45601</c:v>
                </c:pt>
                <c:pt idx="282">
                  <c:v>45600</c:v>
                </c:pt>
                <c:pt idx="283">
                  <c:v>45597</c:v>
                </c:pt>
                <c:pt idx="284">
                  <c:v>45596</c:v>
                </c:pt>
                <c:pt idx="285">
                  <c:v>45595</c:v>
                </c:pt>
                <c:pt idx="286">
                  <c:v>45594</c:v>
                </c:pt>
                <c:pt idx="287">
                  <c:v>45593</c:v>
                </c:pt>
                <c:pt idx="288">
                  <c:v>45590</c:v>
                </c:pt>
                <c:pt idx="289">
                  <c:v>45589</c:v>
                </c:pt>
                <c:pt idx="290">
                  <c:v>45588</c:v>
                </c:pt>
                <c:pt idx="291">
                  <c:v>45587</c:v>
                </c:pt>
                <c:pt idx="292">
                  <c:v>45586</c:v>
                </c:pt>
                <c:pt idx="293">
                  <c:v>45583</c:v>
                </c:pt>
                <c:pt idx="294">
                  <c:v>45582</c:v>
                </c:pt>
                <c:pt idx="295">
                  <c:v>45581</c:v>
                </c:pt>
                <c:pt idx="296">
                  <c:v>45580</c:v>
                </c:pt>
                <c:pt idx="297">
                  <c:v>45579</c:v>
                </c:pt>
                <c:pt idx="298">
                  <c:v>45576</c:v>
                </c:pt>
                <c:pt idx="299">
                  <c:v>45575</c:v>
                </c:pt>
                <c:pt idx="300">
                  <c:v>45574</c:v>
                </c:pt>
                <c:pt idx="301">
                  <c:v>45573</c:v>
                </c:pt>
                <c:pt idx="302">
                  <c:v>45572</c:v>
                </c:pt>
                <c:pt idx="303">
                  <c:v>45569</c:v>
                </c:pt>
                <c:pt idx="304">
                  <c:v>45568</c:v>
                </c:pt>
                <c:pt idx="305">
                  <c:v>45566</c:v>
                </c:pt>
                <c:pt idx="306">
                  <c:v>45565</c:v>
                </c:pt>
                <c:pt idx="307">
                  <c:v>45562</c:v>
                </c:pt>
                <c:pt idx="308">
                  <c:v>45561</c:v>
                </c:pt>
                <c:pt idx="309">
                  <c:v>45560</c:v>
                </c:pt>
                <c:pt idx="310">
                  <c:v>45559</c:v>
                </c:pt>
                <c:pt idx="311">
                  <c:v>45558</c:v>
                </c:pt>
                <c:pt idx="312">
                  <c:v>45555</c:v>
                </c:pt>
                <c:pt idx="313">
                  <c:v>45554</c:v>
                </c:pt>
                <c:pt idx="314">
                  <c:v>45553</c:v>
                </c:pt>
                <c:pt idx="315">
                  <c:v>45552</c:v>
                </c:pt>
                <c:pt idx="316">
                  <c:v>45551</c:v>
                </c:pt>
                <c:pt idx="317">
                  <c:v>45548</c:v>
                </c:pt>
                <c:pt idx="318">
                  <c:v>45547</c:v>
                </c:pt>
                <c:pt idx="319">
                  <c:v>45546</c:v>
                </c:pt>
                <c:pt idx="320">
                  <c:v>45545</c:v>
                </c:pt>
                <c:pt idx="321">
                  <c:v>45544</c:v>
                </c:pt>
                <c:pt idx="322">
                  <c:v>45541</c:v>
                </c:pt>
                <c:pt idx="323">
                  <c:v>45540</c:v>
                </c:pt>
                <c:pt idx="324">
                  <c:v>45539</c:v>
                </c:pt>
                <c:pt idx="325">
                  <c:v>45538</c:v>
                </c:pt>
                <c:pt idx="326">
                  <c:v>45537</c:v>
                </c:pt>
                <c:pt idx="327">
                  <c:v>45534</c:v>
                </c:pt>
                <c:pt idx="328">
                  <c:v>45533</c:v>
                </c:pt>
                <c:pt idx="329">
                  <c:v>45532</c:v>
                </c:pt>
                <c:pt idx="330">
                  <c:v>45531</c:v>
                </c:pt>
                <c:pt idx="331">
                  <c:v>45530</c:v>
                </c:pt>
                <c:pt idx="332">
                  <c:v>45527</c:v>
                </c:pt>
                <c:pt idx="333">
                  <c:v>45526</c:v>
                </c:pt>
                <c:pt idx="334">
                  <c:v>45525</c:v>
                </c:pt>
                <c:pt idx="335">
                  <c:v>45524</c:v>
                </c:pt>
                <c:pt idx="336">
                  <c:v>45523</c:v>
                </c:pt>
                <c:pt idx="337">
                  <c:v>45520</c:v>
                </c:pt>
                <c:pt idx="338">
                  <c:v>45518</c:v>
                </c:pt>
                <c:pt idx="339">
                  <c:v>45517</c:v>
                </c:pt>
                <c:pt idx="340">
                  <c:v>45516</c:v>
                </c:pt>
                <c:pt idx="341">
                  <c:v>45513</c:v>
                </c:pt>
                <c:pt idx="342">
                  <c:v>45512</c:v>
                </c:pt>
                <c:pt idx="343">
                  <c:v>45511</c:v>
                </c:pt>
                <c:pt idx="344">
                  <c:v>45510</c:v>
                </c:pt>
                <c:pt idx="345">
                  <c:v>45509</c:v>
                </c:pt>
                <c:pt idx="346">
                  <c:v>45506</c:v>
                </c:pt>
                <c:pt idx="347">
                  <c:v>45505</c:v>
                </c:pt>
                <c:pt idx="348">
                  <c:v>45504</c:v>
                </c:pt>
                <c:pt idx="349">
                  <c:v>45503</c:v>
                </c:pt>
                <c:pt idx="350">
                  <c:v>45502</c:v>
                </c:pt>
                <c:pt idx="351">
                  <c:v>45499</c:v>
                </c:pt>
                <c:pt idx="352">
                  <c:v>45498</c:v>
                </c:pt>
                <c:pt idx="353">
                  <c:v>45497</c:v>
                </c:pt>
                <c:pt idx="354">
                  <c:v>45496</c:v>
                </c:pt>
                <c:pt idx="355">
                  <c:v>45495</c:v>
                </c:pt>
                <c:pt idx="356">
                  <c:v>45492</c:v>
                </c:pt>
                <c:pt idx="357">
                  <c:v>45491</c:v>
                </c:pt>
                <c:pt idx="358">
                  <c:v>45489</c:v>
                </c:pt>
                <c:pt idx="359">
                  <c:v>45488</c:v>
                </c:pt>
                <c:pt idx="360">
                  <c:v>45485</c:v>
                </c:pt>
                <c:pt idx="361">
                  <c:v>45484</c:v>
                </c:pt>
                <c:pt idx="362">
                  <c:v>45483</c:v>
                </c:pt>
                <c:pt idx="363">
                  <c:v>45482</c:v>
                </c:pt>
                <c:pt idx="364">
                  <c:v>45481</c:v>
                </c:pt>
                <c:pt idx="365">
                  <c:v>45478</c:v>
                </c:pt>
                <c:pt idx="366">
                  <c:v>45477</c:v>
                </c:pt>
                <c:pt idx="367">
                  <c:v>45476</c:v>
                </c:pt>
                <c:pt idx="368">
                  <c:v>45475</c:v>
                </c:pt>
                <c:pt idx="369">
                  <c:v>45474</c:v>
                </c:pt>
                <c:pt idx="370">
                  <c:v>45471</c:v>
                </c:pt>
                <c:pt idx="371">
                  <c:v>45470</c:v>
                </c:pt>
                <c:pt idx="372">
                  <c:v>45469</c:v>
                </c:pt>
                <c:pt idx="373">
                  <c:v>45468</c:v>
                </c:pt>
                <c:pt idx="374">
                  <c:v>45467</c:v>
                </c:pt>
                <c:pt idx="375">
                  <c:v>45464</c:v>
                </c:pt>
                <c:pt idx="376">
                  <c:v>45463</c:v>
                </c:pt>
                <c:pt idx="377">
                  <c:v>45462</c:v>
                </c:pt>
                <c:pt idx="378">
                  <c:v>45461</c:v>
                </c:pt>
                <c:pt idx="379">
                  <c:v>45457</c:v>
                </c:pt>
                <c:pt idx="380">
                  <c:v>45456</c:v>
                </c:pt>
                <c:pt idx="381">
                  <c:v>45455</c:v>
                </c:pt>
                <c:pt idx="382">
                  <c:v>45454</c:v>
                </c:pt>
                <c:pt idx="383">
                  <c:v>45453</c:v>
                </c:pt>
                <c:pt idx="384">
                  <c:v>45450</c:v>
                </c:pt>
                <c:pt idx="385">
                  <c:v>45449</c:v>
                </c:pt>
                <c:pt idx="386">
                  <c:v>45448</c:v>
                </c:pt>
                <c:pt idx="387">
                  <c:v>45447</c:v>
                </c:pt>
                <c:pt idx="388">
                  <c:v>45446</c:v>
                </c:pt>
                <c:pt idx="389">
                  <c:v>45443</c:v>
                </c:pt>
                <c:pt idx="390">
                  <c:v>45442</c:v>
                </c:pt>
                <c:pt idx="391">
                  <c:v>45441</c:v>
                </c:pt>
                <c:pt idx="392">
                  <c:v>45440</c:v>
                </c:pt>
                <c:pt idx="393">
                  <c:v>45439</c:v>
                </c:pt>
                <c:pt idx="394">
                  <c:v>45436</c:v>
                </c:pt>
                <c:pt idx="395">
                  <c:v>45435</c:v>
                </c:pt>
                <c:pt idx="396">
                  <c:v>45434</c:v>
                </c:pt>
                <c:pt idx="397">
                  <c:v>45433</c:v>
                </c:pt>
                <c:pt idx="398">
                  <c:v>45430</c:v>
                </c:pt>
                <c:pt idx="399">
                  <c:v>45429</c:v>
                </c:pt>
                <c:pt idx="400">
                  <c:v>45428</c:v>
                </c:pt>
                <c:pt idx="401">
                  <c:v>45427</c:v>
                </c:pt>
                <c:pt idx="402">
                  <c:v>45426</c:v>
                </c:pt>
                <c:pt idx="403">
                  <c:v>45425</c:v>
                </c:pt>
                <c:pt idx="404">
                  <c:v>45422</c:v>
                </c:pt>
                <c:pt idx="405">
                  <c:v>45421</c:v>
                </c:pt>
                <c:pt idx="406">
                  <c:v>45420</c:v>
                </c:pt>
                <c:pt idx="407">
                  <c:v>45419</c:v>
                </c:pt>
                <c:pt idx="408">
                  <c:v>45418</c:v>
                </c:pt>
                <c:pt idx="409">
                  <c:v>45415</c:v>
                </c:pt>
                <c:pt idx="410">
                  <c:v>45414</c:v>
                </c:pt>
                <c:pt idx="411">
                  <c:v>45412</c:v>
                </c:pt>
                <c:pt idx="412">
                  <c:v>45411</c:v>
                </c:pt>
                <c:pt idx="413">
                  <c:v>45408</c:v>
                </c:pt>
                <c:pt idx="414">
                  <c:v>45407</c:v>
                </c:pt>
                <c:pt idx="415">
                  <c:v>45406</c:v>
                </c:pt>
                <c:pt idx="416">
                  <c:v>45405</c:v>
                </c:pt>
                <c:pt idx="417">
                  <c:v>45404</c:v>
                </c:pt>
                <c:pt idx="418">
                  <c:v>45401</c:v>
                </c:pt>
                <c:pt idx="419">
                  <c:v>45400</c:v>
                </c:pt>
                <c:pt idx="420">
                  <c:v>45398</c:v>
                </c:pt>
                <c:pt idx="421">
                  <c:v>45397</c:v>
                </c:pt>
                <c:pt idx="422">
                  <c:v>45394</c:v>
                </c:pt>
                <c:pt idx="423">
                  <c:v>45392</c:v>
                </c:pt>
                <c:pt idx="424">
                  <c:v>45391</c:v>
                </c:pt>
                <c:pt idx="425">
                  <c:v>45390</c:v>
                </c:pt>
                <c:pt idx="426">
                  <c:v>45387</c:v>
                </c:pt>
                <c:pt idx="427">
                  <c:v>45386</c:v>
                </c:pt>
                <c:pt idx="428">
                  <c:v>45385</c:v>
                </c:pt>
                <c:pt idx="429">
                  <c:v>45384</c:v>
                </c:pt>
                <c:pt idx="430">
                  <c:v>45383</c:v>
                </c:pt>
                <c:pt idx="431">
                  <c:v>45379</c:v>
                </c:pt>
                <c:pt idx="432">
                  <c:v>45378</c:v>
                </c:pt>
                <c:pt idx="433">
                  <c:v>45377</c:v>
                </c:pt>
                <c:pt idx="434">
                  <c:v>45373</c:v>
                </c:pt>
                <c:pt idx="435">
                  <c:v>45372</c:v>
                </c:pt>
                <c:pt idx="436">
                  <c:v>45371</c:v>
                </c:pt>
                <c:pt idx="437">
                  <c:v>45370</c:v>
                </c:pt>
                <c:pt idx="438">
                  <c:v>45369</c:v>
                </c:pt>
                <c:pt idx="439">
                  <c:v>45366</c:v>
                </c:pt>
                <c:pt idx="440">
                  <c:v>45365</c:v>
                </c:pt>
                <c:pt idx="441">
                  <c:v>45364</c:v>
                </c:pt>
                <c:pt idx="442">
                  <c:v>45363</c:v>
                </c:pt>
                <c:pt idx="443">
                  <c:v>45362</c:v>
                </c:pt>
                <c:pt idx="444">
                  <c:v>45358</c:v>
                </c:pt>
                <c:pt idx="445">
                  <c:v>45357</c:v>
                </c:pt>
                <c:pt idx="446">
                  <c:v>45356</c:v>
                </c:pt>
                <c:pt idx="447">
                  <c:v>45355</c:v>
                </c:pt>
                <c:pt idx="448">
                  <c:v>45353</c:v>
                </c:pt>
                <c:pt idx="449">
                  <c:v>45352</c:v>
                </c:pt>
                <c:pt idx="450">
                  <c:v>45351</c:v>
                </c:pt>
                <c:pt idx="451">
                  <c:v>45350</c:v>
                </c:pt>
                <c:pt idx="452">
                  <c:v>45349</c:v>
                </c:pt>
                <c:pt idx="453">
                  <c:v>45348</c:v>
                </c:pt>
                <c:pt idx="454">
                  <c:v>45345</c:v>
                </c:pt>
                <c:pt idx="455">
                  <c:v>45344</c:v>
                </c:pt>
                <c:pt idx="456">
                  <c:v>45343</c:v>
                </c:pt>
                <c:pt idx="457">
                  <c:v>45342</c:v>
                </c:pt>
                <c:pt idx="458">
                  <c:v>45341</c:v>
                </c:pt>
                <c:pt idx="459">
                  <c:v>45338</c:v>
                </c:pt>
                <c:pt idx="460">
                  <c:v>45337</c:v>
                </c:pt>
                <c:pt idx="461">
                  <c:v>45336</c:v>
                </c:pt>
                <c:pt idx="462">
                  <c:v>45335</c:v>
                </c:pt>
                <c:pt idx="463">
                  <c:v>45334</c:v>
                </c:pt>
                <c:pt idx="464">
                  <c:v>45331</c:v>
                </c:pt>
                <c:pt idx="465">
                  <c:v>45330</c:v>
                </c:pt>
                <c:pt idx="466">
                  <c:v>45329</c:v>
                </c:pt>
                <c:pt idx="467">
                  <c:v>45328</c:v>
                </c:pt>
                <c:pt idx="468">
                  <c:v>45327</c:v>
                </c:pt>
                <c:pt idx="469">
                  <c:v>45324</c:v>
                </c:pt>
                <c:pt idx="470">
                  <c:v>45323</c:v>
                </c:pt>
                <c:pt idx="471">
                  <c:v>45322</c:v>
                </c:pt>
                <c:pt idx="472">
                  <c:v>45321</c:v>
                </c:pt>
                <c:pt idx="473">
                  <c:v>45320</c:v>
                </c:pt>
                <c:pt idx="474">
                  <c:v>45316</c:v>
                </c:pt>
                <c:pt idx="475">
                  <c:v>45315</c:v>
                </c:pt>
                <c:pt idx="476">
                  <c:v>45314</c:v>
                </c:pt>
                <c:pt idx="477">
                  <c:v>45311</c:v>
                </c:pt>
                <c:pt idx="478">
                  <c:v>45310</c:v>
                </c:pt>
                <c:pt idx="479">
                  <c:v>45309</c:v>
                </c:pt>
                <c:pt idx="480">
                  <c:v>45308</c:v>
                </c:pt>
                <c:pt idx="481">
                  <c:v>45307</c:v>
                </c:pt>
                <c:pt idx="482">
                  <c:v>45306</c:v>
                </c:pt>
                <c:pt idx="483">
                  <c:v>45303</c:v>
                </c:pt>
                <c:pt idx="484">
                  <c:v>45302</c:v>
                </c:pt>
                <c:pt idx="485">
                  <c:v>45301</c:v>
                </c:pt>
                <c:pt idx="486">
                  <c:v>45300</c:v>
                </c:pt>
                <c:pt idx="487">
                  <c:v>45299</c:v>
                </c:pt>
                <c:pt idx="488">
                  <c:v>45296</c:v>
                </c:pt>
                <c:pt idx="489">
                  <c:v>45295</c:v>
                </c:pt>
                <c:pt idx="490">
                  <c:v>45294</c:v>
                </c:pt>
                <c:pt idx="491">
                  <c:v>45293</c:v>
                </c:pt>
                <c:pt idx="492">
                  <c:v>45292</c:v>
                </c:pt>
                <c:pt idx="493">
                  <c:v>45289</c:v>
                </c:pt>
                <c:pt idx="494">
                  <c:v>45288</c:v>
                </c:pt>
                <c:pt idx="495">
                  <c:v>45287</c:v>
                </c:pt>
                <c:pt idx="496">
                  <c:v>45286</c:v>
                </c:pt>
                <c:pt idx="497">
                  <c:v>45282</c:v>
                </c:pt>
                <c:pt idx="498">
                  <c:v>45281</c:v>
                </c:pt>
                <c:pt idx="499">
                  <c:v>45280</c:v>
                </c:pt>
                <c:pt idx="500">
                  <c:v>45279</c:v>
                </c:pt>
                <c:pt idx="501">
                  <c:v>45278</c:v>
                </c:pt>
                <c:pt idx="502">
                  <c:v>45275</c:v>
                </c:pt>
                <c:pt idx="503">
                  <c:v>45274</c:v>
                </c:pt>
                <c:pt idx="504">
                  <c:v>45273</c:v>
                </c:pt>
                <c:pt idx="505">
                  <c:v>45272</c:v>
                </c:pt>
                <c:pt idx="506">
                  <c:v>45271</c:v>
                </c:pt>
                <c:pt idx="507">
                  <c:v>45268</c:v>
                </c:pt>
                <c:pt idx="508">
                  <c:v>45267</c:v>
                </c:pt>
                <c:pt idx="509">
                  <c:v>45266</c:v>
                </c:pt>
                <c:pt idx="510">
                  <c:v>45265</c:v>
                </c:pt>
                <c:pt idx="511">
                  <c:v>45264</c:v>
                </c:pt>
                <c:pt idx="512">
                  <c:v>45261</c:v>
                </c:pt>
                <c:pt idx="513">
                  <c:v>45260</c:v>
                </c:pt>
                <c:pt idx="514">
                  <c:v>45259</c:v>
                </c:pt>
                <c:pt idx="515">
                  <c:v>45258</c:v>
                </c:pt>
                <c:pt idx="516">
                  <c:v>45254</c:v>
                </c:pt>
                <c:pt idx="517">
                  <c:v>45253</c:v>
                </c:pt>
                <c:pt idx="518">
                  <c:v>45252</c:v>
                </c:pt>
                <c:pt idx="519">
                  <c:v>45251</c:v>
                </c:pt>
                <c:pt idx="520">
                  <c:v>45250</c:v>
                </c:pt>
                <c:pt idx="521">
                  <c:v>45247</c:v>
                </c:pt>
                <c:pt idx="522">
                  <c:v>45246</c:v>
                </c:pt>
                <c:pt idx="523">
                  <c:v>45245</c:v>
                </c:pt>
                <c:pt idx="524">
                  <c:v>45243</c:v>
                </c:pt>
                <c:pt idx="525">
                  <c:v>45242</c:v>
                </c:pt>
                <c:pt idx="526">
                  <c:v>45240</c:v>
                </c:pt>
                <c:pt idx="527">
                  <c:v>45239</c:v>
                </c:pt>
                <c:pt idx="528">
                  <c:v>45238</c:v>
                </c:pt>
                <c:pt idx="529">
                  <c:v>45237</c:v>
                </c:pt>
                <c:pt idx="530">
                  <c:v>45236</c:v>
                </c:pt>
                <c:pt idx="531">
                  <c:v>45233</c:v>
                </c:pt>
                <c:pt idx="532">
                  <c:v>45232</c:v>
                </c:pt>
                <c:pt idx="533">
                  <c:v>45231</c:v>
                </c:pt>
                <c:pt idx="534">
                  <c:v>45230</c:v>
                </c:pt>
                <c:pt idx="535">
                  <c:v>45229</c:v>
                </c:pt>
                <c:pt idx="536">
                  <c:v>45226</c:v>
                </c:pt>
                <c:pt idx="537">
                  <c:v>45225</c:v>
                </c:pt>
                <c:pt idx="538">
                  <c:v>45224</c:v>
                </c:pt>
                <c:pt idx="539">
                  <c:v>45222</c:v>
                </c:pt>
                <c:pt idx="540">
                  <c:v>45219</c:v>
                </c:pt>
                <c:pt idx="541">
                  <c:v>45218</c:v>
                </c:pt>
                <c:pt idx="542">
                  <c:v>45217</c:v>
                </c:pt>
                <c:pt idx="543">
                  <c:v>45216</c:v>
                </c:pt>
                <c:pt idx="544">
                  <c:v>45215</c:v>
                </c:pt>
                <c:pt idx="545">
                  <c:v>45212</c:v>
                </c:pt>
                <c:pt idx="546">
                  <c:v>45211</c:v>
                </c:pt>
                <c:pt idx="547">
                  <c:v>45210</c:v>
                </c:pt>
                <c:pt idx="548">
                  <c:v>45209</c:v>
                </c:pt>
                <c:pt idx="549">
                  <c:v>45208</c:v>
                </c:pt>
                <c:pt idx="550">
                  <c:v>45205</c:v>
                </c:pt>
                <c:pt idx="551">
                  <c:v>45204</c:v>
                </c:pt>
                <c:pt idx="552">
                  <c:v>45203</c:v>
                </c:pt>
                <c:pt idx="553">
                  <c:v>45202</c:v>
                </c:pt>
                <c:pt idx="554">
                  <c:v>45198</c:v>
                </c:pt>
                <c:pt idx="555">
                  <c:v>45197</c:v>
                </c:pt>
                <c:pt idx="556">
                  <c:v>45196</c:v>
                </c:pt>
                <c:pt idx="557">
                  <c:v>45195</c:v>
                </c:pt>
                <c:pt idx="558">
                  <c:v>45194</c:v>
                </c:pt>
                <c:pt idx="559">
                  <c:v>45191</c:v>
                </c:pt>
                <c:pt idx="560">
                  <c:v>45190</c:v>
                </c:pt>
                <c:pt idx="561">
                  <c:v>45189</c:v>
                </c:pt>
                <c:pt idx="562">
                  <c:v>45187</c:v>
                </c:pt>
                <c:pt idx="563">
                  <c:v>45184</c:v>
                </c:pt>
                <c:pt idx="564">
                  <c:v>45183</c:v>
                </c:pt>
                <c:pt idx="565">
                  <c:v>45182</c:v>
                </c:pt>
                <c:pt idx="566">
                  <c:v>45181</c:v>
                </c:pt>
                <c:pt idx="567">
                  <c:v>45180</c:v>
                </c:pt>
                <c:pt idx="568">
                  <c:v>45177</c:v>
                </c:pt>
                <c:pt idx="569">
                  <c:v>45176</c:v>
                </c:pt>
                <c:pt idx="570">
                  <c:v>45175</c:v>
                </c:pt>
                <c:pt idx="571">
                  <c:v>45174</c:v>
                </c:pt>
                <c:pt idx="572">
                  <c:v>45173</c:v>
                </c:pt>
                <c:pt idx="573">
                  <c:v>45170</c:v>
                </c:pt>
                <c:pt idx="574">
                  <c:v>45169</c:v>
                </c:pt>
                <c:pt idx="575">
                  <c:v>45168</c:v>
                </c:pt>
                <c:pt idx="576">
                  <c:v>45167</c:v>
                </c:pt>
                <c:pt idx="577">
                  <c:v>45166</c:v>
                </c:pt>
                <c:pt idx="578">
                  <c:v>45163</c:v>
                </c:pt>
                <c:pt idx="579">
                  <c:v>45162</c:v>
                </c:pt>
                <c:pt idx="580">
                  <c:v>45161</c:v>
                </c:pt>
                <c:pt idx="581">
                  <c:v>45160</c:v>
                </c:pt>
                <c:pt idx="582">
                  <c:v>45159</c:v>
                </c:pt>
                <c:pt idx="583">
                  <c:v>45156</c:v>
                </c:pt>
                <c:pt idx="584">
                  <c:v>45155</c:v>
                </c:pt>
                <c:pt idx="585">
                  <c:v>45154</c:v>
                </c:pt>
                <c:pt idx="586">
                  <c:v>45152</c:v>
                </c:pt>
                <c:pt idx="587">
                  <c:v>45149</c:v>
                </c:pt>
                <c:pt idx="588">
                  <c:v>45148</c:v>
                </c:pt>
                <c:pt idx="589">
                  <c:v>45147</c:v>
                </c:pt>
                <c:pt idx="590">
                  <c:v>45146</c:v>
                </c:pt>
                <c:pt idx="591">
                  <c:v>45145</c:v>
                </c:pt>
                <c:pt idx="592">
                  <c:v>45142</c:v>
                </c:pt>
                <c:pt idx="593">
                  <c:v>45141</c:v>
                </c:pt>
                <c:pt idx="594">
                  <c:v>45140</c:v>
                </c:pt>
                <c:pt idx="595">
                  <c:v>45139</c:v>
                </c:pt>
                <c:pt idx="596">
                  <c:v>45138</c:v>
                </c:pt>
                <c:pt idx="597">
                  <c:v>45135</c:v>
                </c:pt>
                <c:pt idx="598">
                  <c:v>45134</c:v>
                </c:pt>
                <c:pt idx="599">
                  <c:v>45133</c:v>
                </c:pt>
                <c:pt idx="600">
                  <c:v>45132</c:v>
                </c:pt>
                <c:pt idx="601">
                  <c:v>45131</c:v>
                </c:pt>
                <c:pt idx="602">
                  <c:v>45128</c:v>
                </c:pt>
                <c:pt idx="603">
                  <c:v>45127</c:v>
                </c:pt>
                <c:pt idx="604">
                  <c:v>45126</c:v>
                </c:pt>
                <c:pt idx="605">
                  <c:v>45125</c:v>
                </c:pt>
                <c:pt idx="606">
                  <c:v>45124</c:v>
                </c:pt>
                <c:pt idx="607">
                  <c:v>45121</c:v>
                </c:pt>
                <c:pt idx="608">
                  <c:v>45120</c:v>
                </c:pt>
                <c:pt idx="609">
                  <c:v>45119</c:v>
                </c:pt>
                <c:pt idx="610">
                  <c:v>45118</c:v>
                </c:pt>
                <c:pt idx="611">
                  <c:v>45117</c:v>
                </c:pt>
                <c:pt idx="612">
                  <c:v>45114</c:v>
                </c:pt>
                <c:pt idx="613">
                  <c:v>45113</c:v>
                </c:pt>
                <c:pt idx="614">
                  <c:v>45112</c:v>
                </c:pt>
                <c:pt idx="615">
                  <c:v>45111</c:v>
                </c:pt>
                <c:pt idx="616">
                  <c:v>45110</c:v>
                </c:pt>
                <c:pt idx="617">
                  <c:v>45107</c:v>
                </c:pt>
                <c:pt idx="618">
                  <c:v>45105</c:v>
                </c:pt>
                <c:pt idx="619">
                  <c:v>45104</c:v>
                </c:pt>
                <c:pt idx="620">
                  <c:v>45103</c:v>
                </c:pt>
                <c:pt idx="621">
                  <c:v>45100</c:v>
                </c:pt>
                <c:pt idx="622">
                  <c:v>45099</c:v>
                </c:pt>
                <c:pt idx="623">
                  <c:v>45098</c:v>
                </c:pt>
                <c:pt idx="624">
                  <c:v>45097</c:v>
                </c:pt>
                <c:pt idx="625">
                  <c:v>45096</c:v>
                </c:pt>
                <c:pt idx="626">
                  <c:v>45093</c:v>
                </c:pt>
                <c:pt idx="627">
                  <c:v>45092</c:v>
                </c:pt>
                <c:pt idx="628">
                  <c:v>45091</c:v>
                </c:pt>
                <c:pt idx="629">
                  <c:v>45090</c:v>
                </c:pt>
                <c:pt idx="630">
                  <c:v>45089</c:v>
                </c:pt>
                <c:pt idx="631">
                  <c:v>45086</c:v>
                </c:pt>
                <c:pt idx="632">
                  <c:v>45085</c:v>
                </c:pt>
                <c:pt idx="633">
                  <c:v>45084</c:v>
                </c:pt>
                <c:pt idx="634">
                  <c:v>45083</c:v>
                </c:pt>
                <c:pt idx="635">
                  <c:v>45082</c:v>
                </c:pt>
                <c:pt idx="636">
                  <c:v>45079</c:v>
                </c:pt>
                <c:pt idx="637">
                  <c:v>45078</c:v>
                </c:pt>
                <c:pt idx="638">
                  <c:v>45077</c:v>
                </c:pt>
                <c:pt idx="639">
                  <c:v>45076</c:v>
                </c:pt>
                <c:pt idx="640">
                  <c:v>45075</c:v>
                </c:pt>
                <c:pt idx="641">
                  <c:v>45072</c:v>
                </c:pt>
                <c:pt idx="642">
                  <c:v>45071</c:v>
                </c:pt>
                <c:pt idx="643">
                  <c:v>45070</c:v>
                </c:pt>
                <c:pt idx="644">
                  <c:v>45069</c:v>
                </c:pt>
                <c:pt idx="645">
                  <c:v>45068</c:v>
                </c:pt>
                <c:pt idx="646">
                  <c:v>45065</c:v>
                </c:pt>
                <c:pt idx="647">
                  <c:v>45064</c:v>
                </c:pt>
                <c:pt idx="648">
                  <c:v>45063</c:v>
                </c:pt>
                <c:pt idx="649">
                  <c:v>45062</c:v>
                </c:pt>
                <c:pt idx="650">
                  <c:v>45061</c:v>
                </c:pt>
                <c:pt idx="651">
                  <c:v>45058</c:v>
                </c:pt>
                <c:pt idx="652">
                  <c:v>45057</c:v>
                </c:pt>
                <c:pt idx="653">
                  <c:v>45056</c:v>
                </c:pt>
                <c:pt idx="654">
                  <c:v>45055</c:v>
                </c:pt>
                <c:pt idx="655">
                  <c:v>45054</c:v>
                </c:pt>
                <c:pt idx="656">
                  <c:v>45051</c:v>
                </c:pt>
                <c:pt idx="657">
                  <c:v>45050</c:v>
                </c:pt>
                <c:pt idx="658">
                  <c:v>45049</c:v>
                </c:pt>
                <c:pt idx="659">
                  <c:v>45048</c:v>
                </c:pt>
                <c:pt idx="660">
                  <c:v>45044</c:v>
                </c:pt>
                <c:pt idx="661">
                  <c:v>45043</c:v>
                </c:pt>
                <c:pt idx="662">
                  <c:v>45042</c:v>
                </c:pt>
                <c:pt idx="663">
                  <c:v>45041</c:v>
                </c:pt>
                <c:pt idx="664">
                  <c:v>45040</c:v>
                </c:pt>
                <c:pt idx="665">
                  <c:v>45037</c:v>
                </c:pt>
                <c:pt idx="666">
                  <c:v>45036</c:v>
                </c:pt>
                <c:pt idx="667">
                  <c:v>45035</c:v>
                </c:pt>
                <c:pt idx="668">
                  <c:v>45034</c:v>
                </c:pt>
                <c:pt idx="669">
                  <c:v>45033</c:v>
                </c:pt>
                <c:pt idx="670">
                  <c:v>45029</c:v>
                </c:pt>
                <c:pt idx="671">
                  <c:v>45028</c:v>
                </c:pt>
                <c:pt idx="672">
                  <c:v>45027</c:v>
                </c:pt>
                <c:pt idx="673">
                  <c:v>45026</c:v>
                </c:pt>
                <c:pt idx="674">
                  <c:v>45022</c:v>
                </c:pt>
                <c:pt idx="675">
                  <c:v>45021</c:v>
                </c:pt>
                <c:pt idx="676">
                  <c:v>45019</c:v>
                </c:pt>
                <c:pt idx="677">
                  <c:v>45016</c:v>
                </c:pt>
                <c:pt idx="678">
                  <c:v>45014</c:v>
                </c:pt>
                <c:pt idx="679">
                  <c:v>45013</c:v>
                </c:pt>
                <c:pt idx="680">
                  <c:v>45012</c:v>
                </c:pt>
                <c:pt idx="681">
                  <c:v>45009</c:v>
                </c:pt>
                <c:pt idx="682">
                  <c:v>45008</c:v>
                </c:pt>
                <c:pt idx="683">
                  <c:v>45007</c:v>
                </c:pt>
                <c:pt idx="684">
                  <c:v>45006</c:v>
                </c:pt>
                <c:pt idx="685">
                  <c:v>45005</c:v>
                </c:pt>
                <c:pt idx="686">
                  <c:v>45002</c:v>
                </c:pt>
                <c:pt idx="687">
                  <c:v>45001</c:v>
                </c:pt>
                <c:pt idx="688">
                  <c:v>45000</c:v>
                </c:pt>
                <c:pt idx="689">
                  <c:v>44999</c:v>
                </c:pt>
                <c:pt idx="690">
                  <c:v>44998</c:v>
                </c:pt>
                <c:pt idx="691">
                  <c:v>44995</c:v>
                </c:pt>
                <c:pt idx="692">
                  <c:v>44994</c:v>
                </c:pt>
                <c:pt idx="693">
                  <c:v>44993</c:v>
                </c:pt>
                <c:pt idx="694">
                  <c:v>44991</c:v>
                </c:pt>
                <c:pt idx="695">
                  <c:v>44988</c:v>
                </c:pt>
                <c:pt idx="696">
                  <c:v>44987</c:v>
                </c:pt>
                <c:pt idx="697">
                  <c:v>44986</c:v>
                </c:pt>
                <c:pt idx="698">
                  <c:v>44985</c:v>
                </c:pt>
                <c:pt idx="699">
                  <c:v>44984</c:v>
                </c:pt>
                <c:pt idx="700">
                  <c:v>44981</c:v>
                </c:pt>
                <c:pt idx="701">
                  <c:v>44980</c:v>
                </c:pt>
                <c:pt idx="702">
                  <c:v>44979</c:v>
                </c:pt>
                <c:pt idx="703">
                  <c:v>44978</c:v>
                </c:pt>
                <c:pt idx="704">
                  <c:v>44977</c:v>
                </c:pt>
                <c:pt idx="705">
                  <c:v>44974</c:v>
                </c:pt>
                <c:pt idx="706">
                  <c:v>44973</c:v>
                </c:pt>
                <c:pt idx="707">
                  <c:v>44972</c:v>
                </c:pt>
                <c:pt idx="708">
                  <c:v>44971</c:v>
                </c:pt>
                <c:pt idx="709">
                  <c:v>44970</c:v>
                </c:pt>
                <c:pt idx="710">
                  <c:v>44967</c:v>
                </c:pt>
                <c:pt idx="711">
                  <c:v>44966</c:v>
                </c:pt>
                <c:pt idx="712">
                  <c:v>44965</c:v>
                </c:pt>
                <c:pt idx="713">
                  <c:v>44964</c:v>
                </c:pt>
                <c:pt idx="714">
                  <c:v>44963</c:v>
                </c:pt>
                <c:pt idx="715">
                  <c:v>44960</c:v>
                </c:pt>
                <c:pt idx="716">
                  <c:v>44959</c:v>
                </c:pt>
                <c:pt idx="717">
                  <c:v>44958</c:v>
                </c:pt>
                <c:pt idx="718">
                  <c:v>44957</c:v>
                </c:pt>
                <c:pt idx="719">
                  <c:v>44956</c:v>
                </c:pt>
                <c:pt idx="720">
                  <c:v>44953</c:v>
                </c:pt>
                <c:pt idx="721">
                  <c:v>44951</c:v>
                </c:pt>
                <c:pt idx="722">
                  <c:v>44950</c:v>
                </c:pt>
                <c:pt idx="723">
                  <c:v>44949</c:v>
                </c:pt>
                <c:pt idx="724">
                  <c:v>44946</c:v>
                </c:pt>
                <c:pt idx="725">
                  <c:v>44945</c:v>
                </c:pt>
                <c:pt idx="726">
                  <c:v>44944</c:v>
                </c:pt>
                <c:pt idx="727">
                  <c:v>44943</c:v>
                </c:pt>
                <c:pt idx="728">
                  <c:v>44942</c:v>
                </c:pt>
                <c:pt idx="729">
                  <c:v>44939</c:v>
                </c:pt>
                <c:pt idx="730">
                  <c:v>44938</c:v>
                </c:pt>
                <c:pt idx="731">
                  <c:v>44937</c:v>
                </c:pt>
                <c:pt idx="732">
                  <c:v>44936</c:v>
                </c:pt>
                <c:pt idx="733">
                  <c:v>44935</c:v>
                </c:pt>
                <c:pt idx="734">
                  <c:v>44932</c:v>
                </c:pt>
                <c:pt idx="735">
                  <c:v>44931</c:v>
                </c:pt>
                <c:pt idx="736">
                  <c:v>44930</c:v>
                </c:pt>
                <c:pt idx="737">
                  <c:v>44929</c:v>
                </c:pt>
                <c:pt idx="738">
                  <c:v>44928</c:v>
                </c:pt>
                <c:pt idx="739">
                  <c:v>44925</c:v>
                </c:pt>
                <c:pt idx="740">
                  <c:v>44924</c:v>
                </c:pt>
                <c:pt idx="741">
                  <c:v>44923</c:v>
                </c:pt>
                <c:pt idx="742">
                  <c:v>44922</c:v>
                </c:pt>
                <c:pt idx="743">
                  <c:v>44921</c:v>
                </c:pt>
                <c:pt idx="744">
                  <c:v>44918</c:v>
                </c:pt>
                <c:pt idx="745">
                  <c:v>44917</c:v>
                </c:pt>
                <c:pt idx="746">
                  <c:v>44916</c:v>
                </c:pt>
                <c:pt idx="747">
                  <c:v>44915</c:v>
                </c:pt>
                <c:pt idx="748">
                  <c:v>44914</c:v>
                </c:pt>
                <c:pt idx="749">
                  <c:v>44911</c:v>
                </c:pt>
                <c:pt idx="750">
                  <c:v>44910</c:v>
                </c:pt>
                <c:pt idx="751">
                  <c:v>44909</c:v>
                </c:pt>
                <c:pt idx="752">
                  <c:v>44908</c:v>
                </c:pt>
                <c:pt idx="753">
                  <c:v>44907</c:v>
                </c:pt>
                <c:pt idx="754">
                  <c:v>44904</c:v>
                </c:pt>
                <c:pt idx="755">
                  <c:v>44903</c:v>
                </c:pt>
                <c:pt idx="756">
                  <c:v>44902</c:v>
                </c:pt>
                <c:pt idx="757">
                  <c:v>44901</c:v>
                </c:pt>
                <c:pt idx="758">
                  <c:v>44900</c:v>
                </c:pt>
                <c:pt idx="759">
                  <c:v>44897</c:v>
                </c:pt>
                <c:pt idx="760">
                  <c:v>44896</c:v>
                </c:pt>
                <c:pt idx="761">
                  <c:v>44895</c:v>
                </c:pt>
                <c:pt idx="762">
                  <c:v>44894</c:v>
                </c:pt>
                <c:pt idx="763">
                  <c:v>44893</c:v>
                </c:pt>
                <c:pt idx="764">
                  <c:v>44890</c:v>
                </c:pt>
                <c:pt idx="765">
                  <c:v>44889</c:v>
                </c:pt>
                <c:pt idx="766">
                  <c:v>44888</c:v>
                </c:pt>
                <c:pt idx="767">
                  <c:v>44887</c:v>
                </c:pt>
                <c:pt idx="768">
                  <c:v>44886</c:v>
                </c:pt>
                <c:pt idx="769">
                  <c:v>44883</c:v>
                </c:pt>
                <c:pt idx="770">
                  <c:v>44882</c:v>
                </c:pt>
                <c:pt idx="771">
                  <c:v>44881</c:v>
                </c:pt>
                <c:pt idx="772">
                  <c:v>44880</c:v>
                </c:pt>
                <c:pt idx="773">
                  <c:v>44879</c:v>
                </c:pt>
                <c:pt idx="774">
                  <c:v>44876</c:v>
                </c:pt>
                <c:pt idx="775">
                  <c:v>44875</c:v>
                </c:pt>
                <c:pt idx="776">
                  <c:v>44874</c:v>
                </c:pt>
                <c:pt idx="777">
                  <c:v>44872</c:v>
                </c:pt>
                <c:pt idx="778">
                  <c:v>44869</c:v>
                </c:pt>
                <c:pt idx="779">
                  <c:v>44868</c:v>
                </c:pt>
                <c:pt idx="780">
                  <c:v>44867</c:v>
                </c:pt>
                <c:pt idx="781">
                  <c:v>44866</c:v>
                </c:pt>
                <c:pt idx="782">
                  <c:v>44865</c:v>
                </c:pt>
                <c:pt idx="783">
                  <c:v>44862</c:v>
                </c:pt>
                <c:pt idx="784">
                  <c:v>44861</c:v>
                </c:pt>
                <c:pt idx="785">
                  <c:v>44859</c:v>
                </c:pt>
                <c:pt idx="786">
                  <c:v>44858</c:v>
                </c:pt>
                <c:pt idx="787">
                  <c:v>44855</c:v>
                </c:pt>
                <c:pt idx="788">
                  <c:v>44854</c:v>
                </c:pt>
                <c:pt idx="789">
                  <c:v>44853</c:v>
                </c:pt>
                <c:pt idx="790">
                  <c:v>44852</c:v>
                </c:pt>
                <c:pt idx="791">
                  <c:v>44851</c:v>
                </c:pt>
                <c:pt idx="792">
                  <c:v>44848</c:v>
                </c:pt>
                <c:pt idx="793">
                  <c:v>44847</c:v>
                </c:pt>
                <c:pt idx="794">
                  <c:v>44846</c:v>
                </c:pt>
                <c:pt idx="795">
                  <c:v>44845</c:v>
                </c:pt>
                <c:pt idx="796">
                  <c:v>44844</c:v>
                </c:pt>
                <c:pt idx="797">
                  <c:v>44841</c:v>
                </c:pt>
                <c:pt idx="798">
                  <c:v>44840</c:v>
                </c:pt>
                <c:pt idx="799">
                  <c:v>44838</c:v>
                </c:pt>
                <c:pt idx="800">
                  <c:v>44837</c:v>
                </c:pt>
                <c:pt idx="801">
                  <c:v>44834</c:v>
                </c:pt>
                <c:pt idx="802">
                  <c:v>44833</c:v>
                </c:pt>
                <c:pt idx="803">
                  <c:v>44832</c:v>
                </c:pt>
                <c:pt idx="804">
                  <c:v>44831</c:v>
                </c:pt>
                <c:pt idx="805">
                  <c:v>44830</c:v>
                </c:pt>
                <c:pt idx="806">
                  <c:v>44827</c:v>
                </c:pt>
                <c:pt idx="807">
                  <c:v>44826</c:v>
                </c:pt>
                <c:pt idx="808">
                  <c:v>44825</c:v>
                </c:pt>
                <c:pt idx="809">
                  <c:v>44824</c:v>
                </c:pt>
                <c:pt idx="810">
                  <c:v>44823</c:v>
                </c:pt>
                <c:pt idx="811">
                  <c:v>44820</c:v>
                </c:pt>
                <c:pt idx="812">
                  <c:v>44819</c:v>
                </c:pt>
                <c:pt idx="813">
                  <c:v>44818</c:v>
                </c:pt>
                <c:pt idx="814">
                  <c:v>44817</c:v>
                </c:pt>
                <c:pt idx="815">
                  <c:v>44816</c:v>
                </c:pt>
                <c:pt idx="816">
                  <c:v>44813</c:v>
                </c:pt>
                <c:pt idx="817">
                  <c:v>44812</c:v>
                </c:pt>
                <c:pt idx="818">
                  <c:v>44811</c:v>
                </c:pt>
                <c:pt idx="819">
                  <c:v>44810</c:v>
                </c:pt>
                <c:pt idx="820">
                  <c:v>44809</c:v>
                </c:pt>
                <c:pt idx="821">
                  <c:v>44806</c:v>
                </c:pt>
                <c:pt idx="822">
                  <c:v>44805</c:v>
                </c:pt>
                <c:pt idx="823">
                  <c:v>44803</c:v>
                </c:pt>
                <c:pt idx="824">
                  <c:v>44802</c:v>
                </c:pt>
                <c:pt idx="825">
                  <c:v>44799</c:v>
                </c:pt>
                <c:pt idx="826">
                  <c:v>44798</c:v>
                </c:pt>
                <c:pt idx="827">
                  <c:v>44797</c:v>
                </c:pt>
                <c:pt idx="828">
                  <c:v>44796</c:v>
                </c:pt>
                <c:pt idx="829">
                  <c:v>44795</c:v>
                </c:pt>
                <c:pt idx="830">
                  <c:v>44792</c:v>
                </c:pt>
                <c:pt idx="831">
                  <c:v>44791</c:v>
                </c:pt>
                <c:pt idx="832">
                  <c:v>44790</c:v>
                </c:pt>
                <c:pt idx="833">
                  <c:v>44789</c:v>
                </c:pt>
                <c:pt idx="834">
                  <c:v>44785</c:v>
                </c:pt>
                <c:pt idx="835">
                  <c:v>44784</c:v>
                </c:pt>
                <c:pt idx="836">
                  <c:v>44783</c:v>
                </c:pt>
                <c:pt idx="837">
                  <c:v>44781</c:v>
                </c:pt>
                <c:pt idx="838">
                  <c:v>44778</c:v>
                </c:pt>
                <c:pt idx="839">
                  <c:v>44777</c:v>
                </c:pt>
                <c:pt idx="840">
                  <c:v>44776</c:v>
                </c:pt>
                <c:pt idx="841">
                  <c:v>44775</c:v>
                </c:pt>
                <c:pt idx="842">
                  <c:v>44774</c:v>
                </c:pt>
                <c:pt idx="843">
                  <c:v>44771</c:v>
                </c:pt>
                <c:pt idx="844">
                  <c:v>44770</c:v>
                </c:pt>
                <c:pt idx="845">
                  <c:v>44769</c:v>
                </c:pt>
                <c:pt idx="846">
                  <c:v>44768</c:v>
                </c:pt>
                <c:pt idx="847">
                  <c:v>44767</c:v>
                </c:pt>
                <c:pt idx="848">
                  <c:v>44764</c:v>
                </c:pt>
                <c:pt idx="849">
                  <c:v>44763</c:v>
                </c:pt>
                <c:pt idx="850">
                  <c:v>44762</c:v>
                </c:pt>
                <c:pt idx="851">
                  <c:v>44761</c:v>
                </c:pt>
                <c:pt idx="852">
                  <c:v>44760</c:v>
                </c:pt>
                <c:pt idx="853">
                  <c:v>44757</c:v>
                </c:pt>
                <c:pt idx="854">
                  <c:v>44756</c:v>
                </c:pt>
                <c:pt idx="855">
                  <c:v>44755</c:v>
                </c:pt>
                <c:pt idx="856">
                  <c:v>44754</c:v>
                </c:pt>
                <c:pt idx="857">
                  <c:v>44753</c:v>
                </c:pt>
                <c:pt idx="858">
                  <c:v>44750</c:v>
                </c:pt>
                <c:pt idx="859">
                  <c:v>44749</c:v>
                </c:pt>
                <c:pt idx="860">
                  <c:v>44748</c:v>
                </c:pt>
                <c:pt idx="861">
                  <c:v>44747</c:v>
                </c:pt>
                <c:pt idx="862">
                  <c:v>44746</c:v>
                </c:pt>
                <c:pt idx="863">
                  <c:v>44743</c:v>
                </c:pt>
                <c:pt idx="864">
                  <c:v>44742</c:v>
                </c:pt>
                <c:pt idx="865">
                  <c:v>44741</c:v>
                </c:pt>
                <c:pt idx="866">
                  <c:v>44740</c:v>
                </c:pt>
                <c:pt idx="867">
                  <c:v>44739</c:v>
                </c:pt>
                <c:pt idx="868">
                  <c:v>44736</c:v>
                </c:pt>
                <c:pt idx="869">
                  <c:v>44735</c:v>
                </c:pt>
                <c:pt idx="870">
                  <c:v>44734</c:v>
                </c:pt>
                <c:pt idx="871">
                  <c:v>44733</c:v>
                </c:pt>
                <c:pt idx="872">
                  <c:v>44732</c:v>
                </c:pt>
                <c:pt idx="873">
                  <c:v>44729</c:v>
                </c:pt>
                <c:pt idx="874">
                  <c:v>44728</c:v>
                </c:pt>
                <c:pt idx="875">
                  <c:v>44727</c:v>
                </c:pt>
                <c:pt idx="876">
                  <c:v>44726</c:v>
                </c:pt>
                <c:pt idx="877">
                  <c:v>44725</c:v>
                </c:pt>
                <c:pt idx="878">
                  <c:v>44722</c:v>
                </c:pt>
                <c:pt idx="879">
                  <c:v>44721</c:v>
                </c:pt>
                <c:pt idx="880">
                  <c:v>44720</c:v>
                </c:pt>
                <c:pt idx="881">
                  <c:v>44719</c:v>
                </c:pt>
                <c:pt idx="882">
                  <c:v>44718</c:v>
                </c:pt>
                <c:pt idx="883">
                  <c:v>44715</c:v>
                </c:pt>
                <c:pt idx="884">
                  <c:v>44714</c:v>
                </c:pt>
                <c:pt idx="885">
                  <c:v>44713</c:v>
                </c:pt>
                <c:pt idx="886">
                  <c:v>44712</c:v>
                </c:pt>
                <c:pt idx="887">
                  <c:v>44711</c:v>
                </c:pt>
                <c:pt idx="888">
                  <c:v>44708</c:v>
                </c:pt>
                <c:pt idx="889">
                  <c:v>44707</c:v>
                </c:pt>
                <c:pt idx="890">
                  <c:v>44706</c:v>
                </c:pt>
                <c:pt idx="891">
                  <c:v>44705</c:v>
                </c:pt>
                <c:pt idx="892">
                  <c:v>44704</c:v>
                </c:pt>
                <c:pt idx="893">
                  <c:v>44701</c:v>
                </c:pt>
                <c:pt idx="894">
                  <c:v>44700</c:v>
                </c:pt>
                <c:pt idx="895">
                  <c:v>44699</c:v>
                </c:pt>
                <c:pt idx="896">
                  <c:v>44698</c:v>
                </c:pt>
                <c:pt idx="897">
                  <c:v>44697</c:v>
                </c:pt>
                <c:pt idx="898">
                  <c:v>44694</c:v>
                </c:pt>
                <c:pt idx="899">
                  <c:v>44693</c:v>
                </c:pt>
                <c:pt idx="900">
                  <c:v>44692</c:v>
                </c:pt>
                <c:pt idx="901">
                  <c:v>44691</c:v>
                </c:pt>
                <c:pt idx="902">
                  <c:v>44690</c:v>
                </c:pt>
                <c:pt idx="903">
                  <c:v>44687</c:v>
                </c:pt>
                <c:pt idx="904">
                  <c:v>44686</c:v>
                </c:pt>
                <c:pt idx="905">
                  <c:v>44685</c:v>
                </c:pt>
                <c:pt idx="906">
                  <c:v>44683</c:v>
                </c:pt>
                <c:pt idx="907">
                  <c:v>44680</c:v>
                </c:pt>
                <c:pt idx="908">
                  <c:v>44679</c:v>
                </c:pt>
                <c:pt idx="909">
                  <c:v>44678</c:v>
                </c:pt>
                <c:pt idx="910">
                  <c:v>44677</c:v>
                </c:pt>
                <c:pt idx="911">
                  <c:v>44676</c:v>
                </c:pt>
                <c:pt idx="912">
                  <c:v>44673</c:v>
                </c:pt>
                <c:pt idx="913">
                  <c:v>44672</c:v>
                </c:pt>
                <c:pt idx="914">
                  <c:v>44671</c:v>
                </c:pt>
                <c:pt idx="915">
                  <c:v>44670</c:v>
                </c:pt>
                <c:pt idx="916">
                  <c:v>44669</c:v>
                </c:pt>
                <c:pt idx="917">
                  <c:v>44664</c:v>
                </c:pt>
                <c:pt idx="918">
                  <c:v>44663</c:v>
                </c:pt>
                <c:pt idx="919">
                  <c:v>44662</c:v>
                </c:pt>
                <c:pt idx="920">
                  <c:v>44659</c:v>
                </c:pt>
                <c:pt idx="921">
                  <c:v>44658</c:v>
                </c:pt>
                <c:pt idx="922">
                  <c:v>44657</c:v>
                </c:pt>
                <c:pt idx="923">
                  <c:v>44656</c:v>
                </c:pt>
                <c:pt idx="924">
                  <c:v>44655</c:v>
                </c:pt>
                <c:pt idx="925">
                  <c:v>44652</c:v>
                </c:pt>
                <c:pt idx="926">
                  <c:v>44651</c:v>
                </c:pt>
                <c:pt idx="927">
                  <c:v>44650</c:v>
                </c:pt>
                <c:pt idx="928">
                  <c:v>44649</c:v>
                </c:pt>
                <c:pt idx="929">
                  <c:v>44648</c:v>
                </c:pt>
                <c:pt idx="930">
                  <c:v>44645</c:v>
                </c:pt>
                <c:pt idx="931">
                  <c:v>44644</c:v>
                </c:pt>
                <c:pt idx="932">
                  <c:v>44643</c:v>
                </c:pt>
                <c:pt idx="933">
                  <c:v>44642</c:v>
                </c:pt>
                <c:pt idx="934">
                  <c:v>44641</c:v>
                </c:pt>
                <c:pt idx="935">
                  <c:v>44637</c:v>
                </c:pt>
                <c:pt idx="936">
                  <c:v>44636</c:v>
                </c:pt>
                <c:pt idx="937">
                  <c:v>44635</c:v>
                </c:pt>
                <c:pt idx="938">
                  <c:v>44634</c:v>
                </c:pt>
                <c:pt idx="939">
                  <c:v>44631</c:v>
                </c:pt>
                <c:pt idx="940">
                  <c:v>44630</c:v>
                </c:pt>
                <c:pt idx="941">
                  <c:v>44629</c:v>
                </c:pt>
                <c:pt idx="942">
                  <c:v>44628</c:v>
                </c:pt>
                <c:pt idx="943">
                  <c:v>44627</c:v>
                </c:pt>
                <c:pt idx="944">
                  <c:v>44624</c:v>
                </c:pt>
                <c:pt idx="945">
                  <c:v>44623</c:v>
                </c:pt>
                <c:pt idx="946">
                  <c:v>44622</c:v>
                </c:pt>
                <c:pt idx="947">
                  <c:v>44620</c:v>
                </c:pt>
                <c:pt idx="948">
                  <c:v>44617</c:v>
                </c:pt>
                <c:pt idx="949">
                  <c:v>44616</c:v>
                </c:pt>
                <c:pt idx="950">
                  <c:v>44615</c:v>
                </c:pt>
                <c:pt idx="951">
                  <c:v>44614</c:v>
                </c:pt>
                <c:pt idx="952">
                  <c:v>44613</c:v>
                </c:pt>
                <c:pt idx="953">
                  <c:v>44610</c:v>
                </c:pt>
                <c:pt idx="954">
                  <c:v>44609</c:v>
                </c:pt>
                <c:pt idx="955">
                  <c:v>44608</c:v>
                </c:pt>
                <c:pt idx="956">
                  <c:v>44607</c:v>
                </c:pt>
                <c:pt idx="957">
                  <c:v>44606</c:v>
                </c:pt>
                <c:pt idx="958">
                  <c:v>44603</c:v>
                </c:pt>
                <c:pt idx="959">
                  <c:v>44602</c:v>
                </c:pt>
                <c:pt idx="960">
                  <c:v>44601</c:v>
                </c:pt>
                <c:pt idx="961">
                  <c:v>44600</c:v>
                </c:pt>
                <c:pt idx="962">
                  <c:v>44599</c:v>
                </c:pt>
                <c:pt idx="963">
                  <c:v>44596</c:v>
                </c:pt>
                <c:pt idx="964">
                  <c:v>44595</c:v>
                </c:pt>
                <c:pt idx="965">
                  <c:v>44594</c:v>
                </c:pt>
                <c:pt idx="966">
                  <c:v>44593</c:v>
                </c:pt>
                <c:pt idx="967">
                  <c:v>44592</c:v>
                </c:pt>
                <c:pt idx="968">
                  <c:v>44589</c:v>
                </c:pt>
                <c:pt idx="969">
                  <c:v>44588</c:v>
                </c:pt>
                <c:pt idx="970">
                  <c:v>44586</c:v>
                </c:pt>
                <c:pt idx="971">
                  <c:v>44585</c:v>
                </c:pt>
                <c:pt idx="972">
                  <c:v>44582</c:v>
                </c:pt>
                <c:pt idx="973">
                  <c:v>44581</c:v>
                </c:pt>
                <c:pt idx="974">
                  <c:v>44580</c:v>
                </c:pt>
                <c:pt idx="975">
                  <c:v>44579</c:v>
                </c:pt>
                <c:pt idx="976">
                  <c:v>44578</c:v>
                </c:pt>
                <c:pt idx="977">
                  <c:v>44575</c:v>
                </c:pt>
                <c:pt idx="978">
                  <c:v>44574</c:v>
                </c:pt>
                <c:pt idx="979">
                  <c:v>44573</c:v>
                </c:pt>
                <c:pt idx="980">
                  <c:v>44572</c:v>
                </c:pt>
                <c:pt idx="981">
                  <c:v>44571</c:v>
                </c:pt>
                <c:pt idx="982">
                  <c:v>44568</c:v>
                </c:pt>
                <c:pt idx="983">
                  <c:v>44567</c:v>
                </c:pt>
                <c:pt idx="984">
                  <c:v>44566</c:v>
                </c:pt>
                <c:pt idx="985">
                  <c:v>44565</c:v>
                </c:pt>
                <c:pt idx="986">
                  <c:v>44564</c:v>
                </c:pt>
                <c:pt idx="987">
                  <c:v>44561</c:v>
                </c:pt>
                <c:pt idx="988">
                  <c:v>44560</c:v>
                </c:pt>
                <c:pt idx="989">
                  <c:v>44559</c:v>
                </c:pt>
                <c:pt idx="990">
                  <c:v>44558</c:v>
                </c:pt>
                <c:pt idx="991">
                  <c:v>44557</c:v>
                </c:pt>
                <c:pt idx="992">
                  <c:v>44554</c:v>
                </c:pt>
                <c:pt idx="993">
                  <c:v>44553</c:v>
                </c:pt>
                <c:pt idx="994">
                  <c:v>44552</c:v>
                </c:pt>
                <c:pt idx="995">
                  <c:v>44551</c:v>
                </c:pt>
                <c:pt idx="996">
                  <c:v>44550</c:v>
                </c:pt>
                <c:pt idx="997">
                  <c:v>44547</c:v>
                </c:pt>
                <c:pt idx="998">
                  <c:v>44546</c:v>
                </c:pt>
                <c:pt idx="999">
                  <c:v>44545</c:v>
                </c:pt>
                <c:pt idx="1000">
                  <c:v>44544</c:v>
                </c:pt>
                <c:pt idx="1001">
                  <c:v>44543</c:v>
                </c:pt>
                <c:pt idx="1002">
                  <c:v>44540</c:v>
                </c:pt>
                <c:pt idx="1003">
                  <c:v>44539</c:v>
                </c:pt>
                <c:pt idx="1004">
                  <c:v>44538</c:v>
                </c:pt>
                <c:pt idx="1005">
                  <c:v>44537</c:v>
                </c:pt>
                <c:pt idx="1006">
                  <c:v>44536</c:v>
                </c:pt>
                <c:pt idx="1007">
                  <c:v>44533</c:v>
                </c:pt>
                <c:pt idx="1008">
                  <c:v>44532</c:v>
                </c:pt>
                <c:pt idx="1009">
                  <c:v>44531</c:v>
                </c:pt>
                <c:pt idx="1010">
                  <c:v>44530</c:v>
                </c:pt>
                <c:pt idx="1011">
                  <c:v>44529</c:v>
                </c:pt>
                <c:pt idx="1012">
                  <c:v>44526</c:v>
                </c:pt>
                <c:pt idx="1013">
                  <c:v>44525</c:v>
                </c:pt>
                <c:pt idx="1014">
                  <c:v>44524</c:v>
                </c:pt>
                <c:pt idx="1015">
                  <c:v>44523</c:v>
                </c:pt>
                <c:pt idx="1016">
                  <c:v>44522</c:v>
                </c:pt>
                <c:pt idx="1017">
                  <c:v>44518</c:v>
                </c:pt>
                <c:pt idx="1018">
                  <c:v>44517</c:v>
                </c:pt>
                <c:pt idx="1019">
                  <c:v>44516</c:v>
                </c:pt>
                <c:pt idx="1020">
                  <c:v>44515</c:v>
                </c:pt>
                <c:pt idx="1021">
                  <c:v>44512</c:v>
                </c:pt>
                <c:pt idx="1022">
                  <c:v>44511</c:v>
                </c:pt>
                <c:pt idx="1023">
                  <c:v>44510</c:v>
                </c:pt>
                <c:pt idx="1024">
                  <c:v>44509</c:v>
                </c:pt>
                <c:pt idx="1025">
                  <c:v>44508</c:v>
                </c:pt>
                <c:pt idx="1026">
                  <c:v>44504</c:v>
                </c:pt>
                <c:pt idx="1027">
                  <c:v>44503</c:v>
                </c:pt>
                <c:pt idx="1028">
                  <c:v>44502</c:v>
                </c:pt>
                <c:pt idx="1029">
                  <c:v>44501</c:v>
                </c:pt>
                <c:pt idx="1030">
                  <c:v>44498</c:v>
                </c:pt>
                <c:pt idx="1031">
                  <c:v>44497</c:v>
                </c:pt>
                <c:pt idx="1032">
                  <c:v>44496</c:v>
                </c:pt>
                <c:pt idx="1033">
                  <c:v>44495</c:v>
                </c:pt>
                <c:pt idx="1034">
                  <c:v>44494</c:v>
                </c:pt>
                <c:pt idx="1035">
                  <c:v>44491</c:v>
                </c:pt>
                <c:pt idx="1036">
                  <c:v>44490</c:v>
                </c:pt>
                <c:pt idx="1037">
                  <c:v>44489</c:v>
                </c:pt>
                <c:pt idx="1038">
                  <c:v>44488</c:v>
                </c:pt>
                <c:pt idx="1039">
                  <c:v>44487</c:v>
                </c:pt>
                <c:pt idx="1040">
                  <c:v>44483</c:v>
                </c:pt>
                <c:pt idx="1041">
                  <c:v>44482</c:v>
                </c:pt>
                <c:pt idx="1042">
                  <c:v>44481</c:v>
                </c:pt>
                <c:pt idx="1043">
                  <c:v>44480</c:v>
                </c:pt>
                <c:pt idx="1044">
                  <c:v>44477</c:v>
                </c:pt>
                <c:pt idx="1045">
                  <c:v>44476</c:v>
                </c:pt>
                <c:pt idx="1046">
                  <c:v>44475</c:v>
                </c:pt>
                <c:pt idx="1047">
                  <c:v>44474</c:v>
                </c:pt>
                <c:pt idx="1048">
                  <c:v>44473</c:v>
                </c:pt>
                <c:pt idx="1049">
                  <c:v>44470</c:v>
                </c:pt>
                <c:pt idx="1050">
                  <c:v>44469</c:v>
                </c:pt>
                <c:pt idx="1051">
                  <c:v>44468</c:v>
                </c:pt>
                <c:pt idx="1052">
                  <c:v>44467</c:v>
                </c:pt>
                <c:pt idx="1053">
                  <c:v>44466</c:v>
                </c:pt>
                <c:pt idx="1054">
                  <c:v>44463</c:v>
                </c:pt>
                <c:pt idx="1055">
                  <c:v>44462</c:v>
                </c:pt>
                <c:pt idx="1056">
                  <c:v>44461</c:v>
                </c:pt>
                <c:pt idx="1057">
                  <c:v>44460</c:v>
                </c:pt>
                <c:pt idx="1058">
                  <c:v>44459</c:v>
                </c:pt>
                <c:pt idx="1059">
                  <c:v>44456</c:v>
                </c:pt>
                <c:pt idx="1060">
                  <c:v>44455</c:v>
                </c:pt>
                <c:pt idx="1061">
                  <c:v>44454</c:v>
                </c:pt>
                <c:pt idx="1062">
                  <c:v>44453</c:v>
                </c:pt>
                <c:pt idx="1063">
                  <c:v>44452</c:v>
                </c:pt>
                <c:pt idx="1064">
                  <c:v>44448</c:v>
                </c:pt>
                <c:pt idx="1065">
                  <c:v>44447</c:v>
                </c:pt>
                <c:pt idx="1066">
                  <c:v>44446</c:v>
                </c:pt>
                <c:pt idx="1067">
                  <c:v>44445</c:v>
                </c:pt>
                <c:pt idx="1068">
                  <c:v>44442</c:v>
                </c:pt>
                <c:pt idx="1069">
                  <c:v>44441</c:v>
                </c:pt>
                <c:pt idx="1070">
                  <c:v>44440</c:v>
                </c:pt>
                <c:pt idx="1071">
                  <c:v>44439</c:v>
                </c:pt>
                <c:pt idx="1072">
                  <c:v>44438</c:v>
                </c:pt>
                <c:pt idx="1073">
                  <c:v>44435</c:v>
                </c:pt>
                <c:pt idx="1074">
                  <c:v>44434</c:v>
                </c:pt>
                <c:pt idx="1075">
                  <c:v>44433</c:v>
                </c:pt>
                <c:pt idx="1076">
                  <c:v>44432</c:v>
                </c:pt>
                <c:pt idx="1077">
                  <c:v>44431</c:v>
                </c:pt>
                <c:pt idx="1078">
                  <c:v>44428</c:v>
                </c:pt>
                <c:pt idx="1079">
                  <c:v>44426</c:v>
                </c:pt>
                <c:pt idx="1080">
                  <c:v>44425</c:v>
                </c:pt>
                <c:pt idx="1081">
                  <c:v>44424</c:v>
                </c:pt>
                <c:pt idx="1082">
                  <c:v>44421</c:v>
                </c:pt>
                <c:pt idx="1083">
                  <c:v>44420</c:v>
                </c:pt>
                <c:pt idx="1084">
                  <c:v>44419</c:v>
                </c:pt>
                <c:pt idx="1085">
                  <c:v>44418</c:v>
                </c:pt>
                <c:pt idx="1086">
                  <c:v>44417</c:v>
                </c:pt>
                <c:pt idx="1087">
                  <c:v>44414</c:v>
                </c:pt>
                <c:pt idx="1088">
                  <c:v>44413</c:v>
                </c:pt>
                <c:pt idx="1089">
                  <c:v>44412</c:v>
                </c:pt>
                <c:pt idx="1090">
                  <c:v>44411</c:v>
                </c:pt>
                <c:pt idx="1091">
                  <c:v>44410</c:v>
                </c:pt>
                <c:pt idx="1092">
                  <c:v>44407</c:v>
                </c:pt>
                <c:pt idx="1093">
                  <c:v>44406</c:v>
                </c:pt>
                <c:pt idx="1094">
                  <c:v>44405</c:v>
                </c:pt>
                <c:pt idx="1095">
                  <c:v>44404</c:v>
                </c:pt>
                <c:pt idx="1096">
                  <c:v>44403</c:v>
                </c:pt>
                <c:pt idx="1097">
                  <c:v>44400</c:v>
                </c:pt>
                <c:pt idx="1098">
                  <c:v>44399</c:v>
                </c:pt>
                <c:pt idx="1099">
                  <c:v>44397</c:v>
                </c:pt>
                <c:pt idx="1100">
                  <c:v>44396</c:v>
                </c:pt>
                <c:pt idx="1101">
                  <c:v>44393</c:v>
                </c:pt>
                <c:pt idx="1102">
                  <c:v>44392</c:v>
                </c:pt>
                <c:pt idx="1103">
                  <c:v>44391</c:v>
                </c:pt>
                <c:pt idx="1104">
                  <c:v>44390</c:v>
                </c:pt>
                <c:pt idx="1105">
                  <c:v>44389</c:v>
                </c:pt>
                <c:pt idx="1106">
                  <c:v>44386</c:v>
                </c:pt>
                <c:pt idx="1107">
                  <c:v>44385</c:v>
                </c:pt>
                <c:pt idx="1108">
                  <c:v>44384</c:v>
                </c:pt>
                <c:pt idx="1109">
                  <c:v>44383</c:v>
                </c:pt>
                <c:pt idx="1110">
                  <c:v>44382</c:v>
                </c:pt>
                <c:pt idx="1111">
                  <c:v>44379</c:v>
                </c:pt>
                <c:pt idx="1112">
                  <c:v>44378</c:v>
                </c:pt>
                <c:pt idx="1113">
                  <c:v>44377</c:v>
                </c:pt>
                <c:pt idx="1114">
                  <c:v>44376</c:v>
                </c:pt>
                <c:pt idx="1115">
                  <c:v>44375</c:v>
                </c:pt>
                <c:pt idx="1116">
                  <c:v>44372</c:v>
                </c:pt>
                <c:pt idx="1117">
                  <c:v>44371</c:v>
                </c:pt>
                <c:pt idx="1118">
                  <c:v>44370</c:v>
                </c:pt>
                <c:pt idx="1119">
                  <c:v>44369</c:v>
                </c:pt>
                <c:pt idx="1120">
                  <c:v>44368</c:v>
                </c:pt>
                <c:pt idx="1121">
                  <c:v>44365</c:v>
                </c:pt>
                <c:pt idx="1122">
                  <c:v>44364</c:v>
                </c:pt>
                <c:pt idx="1123">
                  <c:v>44363</c:v>
                </c:pt>
                <c:pt idx="1124">
                  <c:v>44362</c:v>
                </c:pt>
                <c:pt idx="1125">
                  <c:v>44361</c:v>
                </c:pt>
                <c:pt idx="1126">
                  <c:v>44358</c:v>
                </c:pt>
                <c:pt idx="1127">
                  <c:v>44357</c:v>
                </c:pt>
                <c:pt idx="1128">
                  <c:v>44356</c:v>
                </c:pt>
                <c:pt idx="1129">
                  <c:v>44355</c:v>
                </c:pt>
                <c:pt idx="1130">
                  <c:v>44354</c:v>
                </c:pt>
                <c:pt idx="1131">
                  <c:v>44351</c:v>
                </c:pt>
                <c:pt idx="1132">
                  <c:v>44350</c:v>
                </c:pt>
                <c:pt idx="1133">
                  <c:v>44349</c:v>
                </c:pt>
                <c:pt idx="1134">
                  <c:v>44348</c:v>
                </c:pt>
                <c:pt idx="1135">
                  <c:v>44347</c:v>
                </c:pt>
                <c:pt idx="1136">
                  <c:v>44344</c:v>
                </c:pt>
                <c:pt idx="1137">
                  <c:v>44343</c:v>
                </c:pt>
                <c:pt idx="1138">
                  <c:v>44342</c:v>
                </c:pt>
                <c:pt idx="1139">
                  <c:v>44341</c:v>
                </c:pt>
                <c:pt idx="1140">
                  <c:v>44340</c:v>
                </c:pt>
                <c:pt idx="1141">
                  <c:v>44337</c:v>
                </c:pt>
                <c:pt idx="1142">
                  <c:v>44336</c:v>
                </c:pt>
                <c:pt idx="1143">
                  <c:v>44335</c:v>
                </c:pt>
                <c:pt idx="1144">
                  <c:v>44334</c:v>
                </c:pt>
                <c:pt idx="1145">
                  <c:v>44333</c:v>
                </c:pt>
                <c:pt idx="1146">
                  <c:v>44330</c:v>
                </c:pt>
                <c:pt idx="1147">
                  <c:v>44328</c:v>
                </c:pt>
                <c:pt idx="1148">
                  <c:v>44327</c:v>
                </c:pt>
                <c:pt idx="1149">
                  <c:v>44326</c:v>
                </c:pt>
                <c:pt idx="1150">
                  <c:v>44323</c:v>
                </c:pt>
                <c:pt idx="1151">
                  <c:v>44322</c:v>
                </c:pt>
                <c:pt idx="1152">
                  <c:v>44321</c:v>
                </c:pt>
                <c:pt idx="1153">
                  <c:v>44320</c:v>
                </c:pt>
                <c:pt idx="1154">
                  <c:v>44319</c:v>
                </c:pt>
                <c:pt idx="1155">
                  <c:v>44316</c:v>
                </c:pt>
                <c:pt idx="1156">
                  <c:v>44315</c:v>
                </c:pt>
                <c:pt idx="1157">
                  <c:v>44314</c:v>
                </c:pt>
                <c:pt idx="1158">
                  <c:v>44313</c:v>
                </c:pt>
                <c:pt idx="1159">
                  <c:v>44312</c:v>
                </c:pt>
                <c:pt idx="1160">
                  <c:v>44309</c:v>
                </c:pt>
                <c:pt idx="1161">
                  <c:v>44308</c:v>
                </c:pt>
                <c:pt idx="1162">
                  <c:v>44306</c:v>
                </c:pt>
                <c:pt idx="1163">
                  <c:v>44305</c:v>
                </c:pt>
                <c:pt idx="1164">
                  <c:v>44302</c:v>
                </c:pt>
                <c:pt idx="1165">
                  <c:v>44301</c:v>
                </c:pt>
                <c:pt idx="1166">
                  <c:v>44299</c:v>
                </c:pt>
                <c:pt idx="1167">
                  <c:v>44298</c:v>
                </c:pt>
                <c:pt idx="1168">
                  <c:v>44295</c:v>
                </c:pt>
                <c:pt idx="1169">
                  <c:v>44294</c:v>
                </c:pt>
                <c:pt idx="1170">
                  <c:v>44293</c:v>
                </c:pt>
                <c:pt idx="1171">
                  <c:v>44292</c:v>
                </c:pt>
                <c:pt idx="1172">
                  <c:v>44291</c:v>
                </c:pt>
                <c:pt idx="1173">
                  <c:v>44287</c:v>
                </c:pt>
                <c:pt idx="1174">
                  <c:v>44286</c:v>
                </c:pt>
                <c:pt idx="1175">
                  <c:v>44285</c:v>
                </c:pt>
                <c:pt idx="1176">
                  <c:v>44281</c:v>
                </c:pt>
                <c:pt idx="1177">
                  <c:v>44280</c:v>
                </c:pt>
                <c:pt idx="1178">
                  <c:v>44279</c:v>
                </c:pt>
                <c:pt idx="1179">
                  <c:v>44278</c:v>
                </c:pt>
                <c:pt idx="1180">
                  <c:v>44277</c:v>
                </c:pt>
                <c:pt idx="1181">
                  <c:v>44274</c:v>
                </c:pt>
                <c:pt idx="1182">
                  <c:v>44273</c:v>
                </c:pt>
                <c:pt idx="1183">
                  <c:v>44272</c:v>
                </c:pt>
                <c:pt idx="1184">
                  <c:v>44271</c:v>
                </c:pt>
                <c:pt idx="1185">
                  <c:v>44270</c:v>
                </c:pt>
                <c:pt idx="1186">
                  <c:v>44267</c:v>
                </c:pt>
                <c:pt idx="1187">
                  <c:v>44265</c:v>
                </c:pt>
                <c:pt idx="1188">
                  <c:v>44264</c:v>
                </c:pt>
                <c:pt idx="1189">
                  <c:v>44263</c:v>
                </c:pt>
                <c:pt idx="1190">
                  <c:v>44260</c:v>
                </c:pt>
                <c:pt idx="1191">
                  <c:v>44259</c:v>
                </c:pt>
                <c:pt idx="1192">
                  <c:v>44258</c:v>
                </c:pt>
                <c:pt idx="1193">
                  <c:v>44257</c:v>
                </c:pt>
                <c:pt idx="1194">
                  <c:v>44256</c:v>
                </c:pt>
                <c:pt idx="1195">
                  <c:v>44253</c:v>
                </c:pt>
                <c:pt idx="1196">
                  <c:v>44252</c:v>
                </c:pt>
                <c:pt idx="1197">
                  <c:v>44251</c:v>
                </c:pt>
                <c:pt idx="1198">
                  <c:v>44250</c:v>
                </c:pt>
                <c:pt idx="1199">
                  <c:v>44249</c:v>
                </c:pt>
                <c:pt idx="1200">
                  <c:v>44246</c:v>
                </c:pt>
                <c:pt idx="1201">
                  <c:v>44245</c:v>
                </c:pt>
                <c:pt idx="1202">
                  <c:v>44244</c:v>
                </c:pt>
                <c:pt idx="1203">
                  <c:v>44243</c:v>
                </c:pt>
                <c:pt idx="1204">
                  <c:v>44242</c:v>
                </c:pt>
                <c:pt idx="1205">
                  <c:v>44239</c:v>
                </c:pt>
                <c:pt idx="1206">
                  <c:v>44238</c:v>
                </c:pt>
                <c:pt idx="1207">
                  <c:v>44237</c:v>
                </c:pt>
                <c:pt idx="1208">
                  <c:v>44236</c:v>
                </c:pt>
                <c:pt idx="1209">
                  <c:v>44235</c:v>
                </c:pt>
                <c:pt idx="1210">
                  <c:v>44232</c:v>
                </c:pt>
                <c:pt idx="1211">
                  <c:v>44231</c:v>
                </c:pt>
                <c:pt idx="1212">
                  <c:v>44230</c:v>
                </c:pt>
                <c:pt idx="1213">
                  <c:v>44229</c:v>
                </c:pt>
                <c:pt idx="1214">
                  <c:v>44228</c:v>
                </c:pt>
                <c:pt idx="1215">
                  <c:v>44225</c:v>
                </c:pt>
                <c:pt idx="1216">
                  <c:v>44224</c:v>
                </c:pt>
                <c:pt idx="1217">
                  <c:v>44223</c:v>
                </c:pt>
                <c:pt idx="1218">
                  <c:v>44221</c:v>
                </c:pt>
                <c:pt idx="1219">
                  <c:v>44218</c:v>
                </c:pt>
                <c:pt idx="1220">
                  <c:v>44217</c:v>
                </c:pt>
                <c:pt idx="1221">
                  <c:v>44216</c:v>
                </c:pt>
                <c:pt idx="1222">
                  <c:v>44215</c:v>
                </c:pt>
                <c:pt idx="1223">
                  <c:v>44214</c:v>
                </c:pt>
                <c:pt idx="1224">
                  <c:v>44211</c:v>
                </c:pt>
                <c:pt idx="1225">
                  <c:v>44210</c:v>
                </c:pt>
                <c:pt idx="1226">
                  <c:v>44209</c:v>
                </c:pt>
                <c:pt idx="1227">
                  <c:v>44208</c:v>
                </c:pt>
                <c:pt idx="1228">
                  <c:v>44207</c:v>
                </c:pt>
                <c:pt idx="1229">
                  <c:v>44204</c:v>
                </c:pt>
                <c:pt idx="1230">
                  <c:v>44203</c:v>
                </c:pt>
                <c:pt idx="1231">
                  <c:v>44202</c:v>
                </c:pt>
                <c:pt idx="1232">
                  <c:v>44201</c:v>
                </c:pt>
                <c:pt idx="1233">
                  <c:v>44200</c:v>
                </c:pt>
                <c:pt idx="1234">
                  <c:v>44197</c:v>
                </c:pt>
                <c:pt idx="1235">
                  <c:v>44196</c:v>
                </c:pt>
                <c:pt idx="1236">
                  <c:v>44195</c:v>
                </c:pt>
                <c:pt idx="1237">
                  <c:v>44194</c:v>
                </c:pt>
                <c:pt idx="1238">
                  <c:v>44193</c:v>
                </c:pt>
              </c:numCache>
            </c:numRef>
          </c:cat>
          <c:val>
            <c:numRef>
              <c:f>'INPUT SHEET'!$G$4:$G$1242</c:f>
              <c:numCache>
                <c:formatCode>General</c:formatCode>
                <c:ptCount val="1239"/>
                <c:pt idx="0">
                  <c:v>1225</c:v>
                </c:pt>
                <c:pt idx="1">
                  <c:v>1233.2</c:v>
                </c:pt>
                <c:pt idx="2">
                  <c:v>1230.5999999999999</c:v>
                </c:pt>
                <c:pt idx="3">
                  <c:v>1229.8</c:v>
                </c:pt>
                <c:pt idx="4">
                  <c:v>1224.7</c:v>
                </c:pt>
                <c:pt idx="5">
                  <c:v>1219.5999999999999</c:v>
                </c:pt>
                <c:pt idx="6">
                  <c:v>1284.8</c:v>
                </c:pt>
                <c:pt idx="7">
                  <c:v>1286.0999999999999</c:v>
                </c:pt>
                <c:pt idx="8">
                  <c:v>1272.7</c:v>
                </c:pt>
                <c:pt idx="9">
                  <c:v>1278.5999999999999</c:v>
                </c:pt>
                <c:pt idx="10">
                  <c:v>1275.9000000000001</c:v>
                </c:pt>
                <c:pt idx="11">
                  <c:v>1273.8</c:v>
                </c:pt>
                <c:pt idx="12">
                  <c:v>1282.5</c:v>
                </c:pt>
                <c:pt idx="13">
                  <c:v>1280</c:v>
                </c:pt>
                <c:pt idx="14">
                  <c:v>1270.7</c:v>
                </c:pt>
                <c:pt idx="15">
                  <c:v>1258</c:v>
                </c:pt>
                <c:pt idx="16">
                  <c:v>1275.7</c:v>
                </c:pt>
                <c:pt idx="17">
                  <c:v>1279.7</c:v>
                </c:pt>
                <c:pt idx="18">
                  <c:v>1287.3</c:v>
                </c:pt>
                <c:pt idx="19">
                  <c:v>1290.2</c:v>
                </c:pt>
                <c:pt idx="20">
                  <c:v>1266.3</c:v>
                </c:pt>
                <c:pt idx="21">
                  <c:v>1269</c:v>
                </c:pt>
                <c:pt idx="22">
                  <c:v>1275.8</c:v>
                </c:pt>
                <c:pt idx="23">
                  <c:v>1285.2</c:v>
                </c:pt>
                <c:pt idx="24">
                  <c:v>1270.4000000000001</c:v>
                </c:pt>
                <c:pt idx="25">
                  <c:v>1265.4000000000001</c:v>
                </c:pt>
                <c:pt idx="26">
                  <c:v>1249.5999999999999</c:v>
                </c:pt>
                <c:pt idx="27">
                  <c:v>1241.5999999999999</c:v>
                </c:pt>
                <c:pt idx="28">
                  <c:v>1225.2</c:v>
                </c:pt>
                <c:pt idx="29">
                  <c:v>1221.5999999999999</c:v>
                </c:pt>
                <c:pt idx="30">
                  <c:v>1222.5</c:v>
                </c:pt>
                <c:pt idx="31">
                  <c:v>1217</c:v>
                </c:pt>
                <c:pt idx="32">
                  <c:v>1222.8</c:v>
                </c:pt>
                <c:pt idx="33">
                  <c:v>1228.5</c:v>
                </c:pt>
                <c:pt idx="34">
                  <c:v>1226.5999999999999</c:v>
                </c:pt>
                <c:pt idx="35">
                  <c:v>1233.7</c:v>
                </c:pt>
                <c:pt idx="36">
                  <c:v>1232.8</c:v>
                </c:pt>
                <c:pt idx="37">
                  <c:v>1238.5999999999999</c:v>
                </c:pt>
                <c:pt idx="38">
                  <c:v>1248.8</c:v>
                </c:pt>
                <c:pt idx="39">
                  <c:v>1246.3</c:v>
                </c:pt>
                <c:pt idx="40">
                  <c:v>1254.0999999999999</c:v>
                </c:pt>
                <c:pt idx="41">
                  <c:v>1241.9000000000001</c:v>
                </c:pt>
                <c:pt idx="42">
                  <c:v>1258.8</c:v>
                </c:pt>
                <c:pt idx="43">
                  <c:v>1237.3</c:v>
                </c:pt>
                <c:pt idx="44">
                  <c:v>1226</c:v>
                </c:pt>
                <c:pt idx="45">
                  <c:v>1200.2</c:v>
                </c:pt>
                <c:pt idx="46">
                  <c:v>1196.3</c:v>
                </c:pt>
                <c:pt idx="47">
                  <c:v>1169.5999999999999</c:v>
                </c:pt>
                <c:pt idx="48">
                  <c:v>1176.8</c:v>
                </c:pt>
                <c:pt idx="49">
                  <c:v>1189.5999999999999</c:v>
                </c:pt>
                <c:pt idx="50">
                  <c:v>1180.4000000000001</c:v>
                </c:pt>
                <c:pt idx="51">
                  <c:v>1167.4000000000001</c:v>
                </c:pt>
                <c:pt idx="52">
                  <c:v>1180.5999999999999</c:v>
                </c:pt>
                <c:pt idx="53">
                  <c:v>1186.8</c:v>
                </c:pt>
                <c:pt idx="54">
                  <c:v>1212.8</c:v>
                </c:pt>
                <c:pt idx="55">
                  <c:v>1181</c:v>
                </c:pt>
                <c:pt idx="56">
                  <c:v>1159.5</c:v>
                </c:pt>
                <c:pt idx="57">
                  <c:v>1131.5999999999999</c:v>
                </c:pt>
                <c:pt idx="58">
                  <c:v>1132.2</c:v>
                </c:pt>
                <c:pt idx="59">
                  <c:v>1154</c:v>
                </c:pt>
                <c:pt idx="60">
                  <c:v>1166.5999999999999</c:v>
                </c:pt>
                <c:pt idx="61">
                  <c:v>1158.9000000000001</c:v>
                </c:pt>
                <c:pt idx="62">
                  <c:v>1170.8</c:v>
                </c:pt>
                <c:pt idx="63">
                  <c:v>1144.4000000000001</c:v>
                </c:pt>
                <c:pt idx="64">
                  <c:v>1135.9000000000001</c:v>
                </c:pt>
                <c:pt idx="65">
                  <c:v>1133</c:v>
                </c:pt>
                <c:pt idx="66">
                  <c:v>1126</c:v>
                </c:pt>
                <c:pt idx="67">
                  <c:v>1121.2</c:v>
                </c:pt>
                <c:pt idx="68">
                  <c:v>1104.4000000000001</c:v>
                </c:pt>
                <c:pt idx="69">
                  <c:v>1105.3</c:v>
                </c:pt>
                <c:pt idx="70">
                  <c:v>1087.4000000000001</c:v>
                </c:pt>
                <c:pt idx="71">
                  <c:v>1070.0999999999999</c:v>
                </c:pt>
                <c:pt idx="72">
                  <c:v>1052.2</c:v>
                </c:pt>
                <c:pt idx="73">
                  <c:v>1055.5</c:v>
                </c:pt>
                <c:pt idx="74">
                  <c:v>1055.9000000000001</c:v>
                </c:pt>
                <c:pt idx="75">
                  <c:v>1050.4000000000001</c:v>
                </c:pt>
                <c:pt idx="76">
                  <c:v>1054.7</c:v>
                </c:pt>
                <c:pt idx="77">
                  <c:v>1056.2</c:v>
                </c:pt>
                <c:pt idx="78">
                  <c:v>1061.5</c:v>
                </c:pt>
                <c:pt idx="79">
                  <c:v>1045.2</c:v>
                </c:pt>
                <c:pt idx="80">
                  <c:v>1051.9000000000001</c:v>
                </c:pt>
                <c:pt idx="81">
                  <c:v>1050.0999999999999</c:v>
                </c:pt>
                <c:pt idx="82">
                  <c:v>1070</c:v>
                </c:pt>
                <c:pt idx="83">
                  <c:v>1070.9000000000001</c:v>
                </c:pt>
                <c:pt idx="84">
                  <c:v>1078.9000000000001</c:v>
                </c:pt>
                <c:pt idx="85">
                  <c:v>1080.2</c:v>
                </c:pt>
                <c:pt idx="86">
                  <c:v>1083.2</c:v>
                </c:pt>
                <c:pt idx="87">
                  <c:v>1082.5999999999999</c:v>
                </c:pt>
                <c:pt idx="88">
                  <c:v>1068.2</c:v>
                </c:pt>
                <c:pt idx="89">
                  <c:v>1066</c:v>
                </c:pt>
                <c:pt idx="90">
                  <c:v>1070</c:v>
                </c:pt>
                <c:pt idx="91">
                  <c:v>1073.3</c:v>
                </c:pt>
                <c:pt idx="92">
                  <c:v>1058.0999999999999</c:v>
                </c:pt>
                <c:pt idx="93">
                  <c:v>1076.2</c:v>
                </c:pt>
                <c:pt idx="94">
                  <c:v>1071</c:v>
                </c:pt>
                <c:pt idx="95">
                  <c:v>1070.8</c:v>
                </c:pt>
                <c:pt idx="96">
                  <c:v>1068.5999999999999</c:v>
                </c:pt>
                <c:pt idx="97">
                  <c:v>1062.4000000000001</c:v>
                </c:pt>
                <c:pt idx="98">
                  <c:v>1068.4000000000001</c:v>
                </c:pt>
                <c:pt idx="99">
                  <c:v>1073.3</c:v>
                </c:pt>
                <c:pt idx="100">
                  <c:v>1064.2</c:v>
                </c:pt>
                <c:pt idx="101">
                  <c:v>1073.5999999999999</c:v>
                </c:pt>
                <c:pt idx="102">
                  <c:v>1086.0999999999999</c:v>
                </c:pt>
                <c:pt idx="103">
                  <c:v>1095.0999999999999</c:v>
                </c:pt>
                <c:pt idx="104">
                  <c:v>1104.8</c:v>
                </c:pt>
                <c:pt idx="105">
                  <c:v>1098</c:v>
                </c:pt>
                <c:pt idx="106">
                  <c:v>1099.5999999999999</c:v>
                </c:pt>
                <c:pt idx="107">
                  <c:v>1099.3</c:v>
                </c:pt>
                <c:pt idx="108">
                  <c:v>1159.8</c:v>
                </c:pt>
                <c:pt idx="109">
                  <c:v>1168.4000000000001</c:v>
                </c:pt>
                <c:pt idx="110">
                  <c:v>1165.9000000000001</c:v>
                </c:pt>
                <c:pt idx="111">
                  <c:v>1172.7</c:v>
                </c:pt>
                <c:pt idx="112">
                  <c:v>1173.8</c:v>
                </c:pt>
                <c:pt idx="113">
                  <c:v>1164.3</c:v>
                </c:pt>
                <c:pt idx="114">
                  <c:v>1164.7</c:v>
                </c:pt>
                <c:pt idx="115">
                  <c:v>1165.4000000000001</c:v>
                </c:pt>
                <c:pt idx="116">
                  <c:v>1175.0999999999999</c:v>
                </c:pt>
                <c:pt idx="117">
                  <c:v>1177.5999999999999</c:v>
                </c:pt>
                <c:pt idx="118">
                  <c:v>1171.0999999999999</c:v>
                </c:pt>
                <c:pt idx="119">
                  <c:v>1175.3</c:v>
                </c:pt>
                <c:pt idx="120">
                  <c:v>1173.3</c:v>
                </c:pt>
                <c:pt idx="121">
                  <c:v>1199.2</c:v>
                </c:pt>
                <c:pt idx="122">
                  <c:v>1225.0999999999999</c:v>
                </c:pt>
                <c:pt idx="123">
                  <c:v>1233.5</c:v>
                </c:pt>
                <c:pt idx="124">
                  <c:v>1213.3</c:v>
                </c:pt>
                <c:pt idx="125">
                  <c:v>1221.2</c:v>
                </c:pt>
                <c:pt idx="126">
                  <c:v>1214.0999999999999</c:v>
                </c:pt>
                <c:pt idx="127">
                  <c:v>1220.7</c:v>
                </c:pt>
                <c:pt idx="128">
                  <c:v>1217.5</c:v>
                </c:pt>
                <c:pt idx="129">
                  <c:v>1221</c:v>
                </c:pt>
                <c:pt idx="130">
                  <c:v>1215.0999999999999</c:v>
                </c:pt>
                <c:pt idx="131">
                  <c:v>1215.4000000000001</c:v>
                </c:pt>
                <c:pt idx="132">
                  <c:v>1205.8</c:v>
                </c:pt>
                <c:pt idx="133">
                  <c:v>1212.9000000000001</c:v>
                </c:pt>
                <c:pt idx="134">
                  <c:v>1231.4000000000001</c:v>
                </c:pt>
                <c:pt idx="135">
                  <c:v>1232.8</c:v>
                </c:pt>
                <c:pt idx="136">
                  <c:v>1219.9000000000001</c:v>
                </c:pt>
                <c:pt idx="137">
                  <c:v>1194.5999999999999</c:v>
                </c:pt>
                <c:pt idx="138">
                  <c:v>1159</c:v>
                </c:pt>
                <c:pt idx="139">
                  <c:v>1171</c:v>
                </c:pt>
                <c:pt idx="140">
                  <c:v>1181.5</c:v>
                </c:pt>
                <c:pt idx="141">
                  <c:v>1194.4000000000001</c:v>
                </c:pt>
                <c:pt idx="142">
                  <c:v>1192.2</c:v>
                </c:pt>
                <c:pt idx="143">
                  <c:v>1201.7</c:v>
                </c:pt>
                <c:pt idx="144">
                  <c:v>1194.7</c:v>
                </c:pt>
                <c:pt idx="145">
                  <c:v>1195.5999999999999</c:v>
                </c:pt>
                <c:pt idx="146">
                  <c:v>1215.2</c:v>
                </c:pt>
                <c:pt idx="147">
                  <c:v>1210.0999999999999</c:v>
                </c:pt>
                <c:pt idx="148">
                  <c:v>1188.5</c:v>
                </c:pt>
                <c:pt idx="149">
                  <c:v>1197.8</c:v>
                </c:pt>
                <c:pt idx="150">
                  <c:v>1195.8</c:v>
                </c:pt>
                <c:pt idx="151">
                  <c:v>1202.8</c:v>
                </c:pt>
                <c:pt idx="152">
                  <c:v>1208.8</c:v>
                </c:pt>
                <c:pt idx="153">
                  <c:v>1209.0999999999999</c:v>
                </c:pt>
                <c:pt idx="154">
                  <c:v>1195.5</c:v>
                </c:pt>
                <c:pt idx="155">
                  <c:v>1193.5999999999999</c:v>
                </c:pt>
                <c:pt idx="156">
                  <c:v>1203</c:v>
                </c:pt>
                <c:pt idx="157">
                  <c:v>1151.0999999999999</c:v>
                </c:pt>
                <c:pt idx="158">
                  <c:v>1172.2</c:v>
                </c:pt>
                <c:pt idx="159">
                  <c:v>1161.3</c:v>
                </c:pt>
                <c:pt idx="160">
                  <c:v>1161.4000000000001</c:v>
                </c:pt>
                <c:pt idx="161">
                  <c:v>1173.2</c:v>
                </c:pt>
                <c:pt idx="162">
                  <c:v>1182.2</c:v>
                </c:pt>
                <c:pt idx="163">
                  <c:v>1185</c:v>
                </c:pt>
                <c:pt idx="164">
                  <c:v>1187.3</c:v>
                </c:pt>
                <c:pt idx="165">
                  <c:v>1192.8</c:v>
                </c:pt>
                <c:pt idx="166">
                  <c:v>1166.3</c:v>
                </c:pt>
                <c:pt idx="167">
                  <c:v>1207.0999999999999</c:v>
                </c:pt>
                <c:pt idx="168">
                  <c:v>1206.9000000000001</c:v>
                </c:pt>
                <c:pt idx="169">
                  <c:v>1216.8</c:v>
                </c:pt>
                <c:pt idx="170">
                  <c:v>1223</c:v>
                </c:pt>
                <c:pt idx="171">
                  <c:v>1190.8</c:v>
                </c:pt>
                <c:pt idx="172">
                  <c:v>1161.3</c:v>
                </c:pt>
                <c:pt idx="173">
                  <c:v>1112.8</c:v>
                </c:pt>
                <c:pt idx="174">
                  <c:v>1068.95</c:v>
                </c:pt>
                <c:pt idx="175">
                  <c:v>1061.6500000000001</c:v>
                </c:pt>
                <c:pt idx="176">
                  <c:v>1077.8499999999999</c:v>
                </c:pt>
                <c:pt idx="177">
                  <c:v>1047.95</c:v>
                </c:pt>
                <c:pt idx="178">
                  <c:v>1091.3</c:v>
                </c:pt>
                <c:pt idx="179">
                  <c:v>1089.8499999999999</c:v>
                </c:pt>
                <c:pt idx="180">
                  <c:v>1084.45</c:v>
                </c:pt>
                <c:pt idx="181">
                  <c:v>1085.5999999999999</c:v>
                </c:pt>
                <c:pt idx="182">
                  <c:v>1102</c:v>
                </c:pt>
                <c:pt idx="183">
                  <c:v>1098.3499999999999</c:v>
                </c:pt>
                <c:pt idx="184">
                  <c:v>1096.25</c:v>
                </c:pt>
                <c:pt idx="185">
                  <c:v>1118.55</c:v>
                </c:pt>
                <c:pt idx="186">
                  <c:v>1097.8499999999999</c:v>
                </c:pt>
                <c:pt idx="187">
                  <c:v>1070.1500000000001</c:v>
                </c:pt>
                <c:pt idx="188">
                  <c:v>1054.3499999999999</c:v>
                </c:pt>
                <c:pt idx="189">
                  <c:v>1052.05</c:v>
                </c:pt>
                <c:pt idx="190">
                  <c:v>1045.25</c:v>
                </c:pt>
                <c:pt idx="191">
                  <c:v>1034.1500000000001</c:v>
                </c:pt>
                <c:pt idx="192">
                  <c:v>1010.2</c:v>
                </c:pt>
                <c:pt idx="193">
                  <c:v>1011.2</c:v>
                </c:pt>
                <c:pt idx="194">
                  <c:v>1025.6500000000001</c:v>
                </c:pt>
                <c:pt idx="195">
                  <c:v>1035.8499999999999</c:v>
                </c:pt>
                <c:pt idx="196">
                  <c:v>1037.6500000000001</c:v>
                </c:pt>
                <c:pt idx="197">
                  <c:v>1034.0999999999999</c:v>
                </c:pt>
                <c:pt idx="198">
                  <c:v>1014.45</c:v>
                </c:pt>
                <c:pt idx="199">
                  <c:v>1001.8</c:v>
                </c:pt>
                <c:pt idx="200">
                  <c:v>1007.25</c:v>
                </c:pt>
                <c:pt idx="201">
                  <c:v>1015.55</c:v>
                </c:pt>
                <c:pt idx="202">
                  <c:v>1016.7</c:v>
                </c:pt>
                <c:pt idx="203">
                  <c:v>1009.1</c:v>
                </c:pt>
                <c:pt idx="204">
                  <c:v>1010.05</c:v>
                </c:pt>
                <c:pt idx="205">
                  <c:v>1008.95</c:v>
                </c:pt>
                <c:pt idx="206">
                  <c:v>1017.2</c:v>
                </c:pt>
                <c:pt idx="207">
                  <c:v>1011.35</c:v>
                </c:pt>
                <c:pt idx="208">
                  <c:v>994.15</c:v>
                </c:pt>
                <c:pt idx="209">
                  <c:v>992.95</c:v>
                </c:pt>
                <c:pt idx="210">
                  <c:v>997.5</c:v>
                </c:pt>
                <c:pt idx="211">
                  <c:v>1008.2</c:v>
                </c:pt>
                <c:pt idx="212">
                  <c:v>1006.9</c:v>
                </c:pt>
                <c:pt idx="213">
                  <c:v>1007.4</c:v>
                </c:pt>
                <c:pt idx="214">
                  <c:v>1011.75</c:v>
                </c:pt>
                <c:pt idx="215">
                  <c:v>1024.0999999999999</c:v>
                </c:pt>
                <c:pt idx="216">
                  <c:v>1020.7</c:v>
                </c:pt>
                <c:pt idx="217">
                  <c:v>1013.3</c:v>
                </c:pt>
                <c:pt idx="218">
                  <c:v>1015.3</c:v>
                </c:pt>
                <c:pt idx="219">
                  <c:v>989.4</c:v>
                </c:pt>
                <c:pt idx="220">
                  <c:v>998.15</c:v>
                </c:pt>
                <c:pt idx="221">
                  <c:v>986.1</c:v>
                </c:pt>
                <c:pt idx="222">
                  <c:v>984.7</c:v>
                </c:pt>
                <c:pt idx="223">
                  <c:v>983.4</c:v>
                </c:pt>
                <c:pt idx="224">
                  <c:v>983.8</c:v>
                </c:pt>
                <c:pt idx="225">
                  <c:v>948.1</c:v>
                </c:pt>
                <c:pt idx="226">
                  <c:v>948.5</c:v>
                </c:pt>
                <c:pt idx="227">
                  <c:v>951.05</c:v>
                </c:pt>
                <c:pt idx="228">
                  <c:v>959.3</c:v>
                </c:pt>
                <c:pt idx="229">
                  <c:v>970.2</c:v>
                </c:pt>
                <c:pt idx="230">
                  <c:v>988.05</c:v>
                </c:pt>
                <c:pt idx="231">
                  <c:v>991.05</c:v>
                </c:pt>
                <c:pt idx="232">
                  <c:v>1038</c:v>
                </c:pt>
                <c:pt idx="233">
                  <c:v>1026.8</c:v>
                </c:pt>
                <c:pt idx="234">
                  <c:v>1051.6500000000001</c:v>
                </c:pt>
                <c:pt idx="235">
                  <c:v>1049.3</c:v>
                </c:pt>
                <c:pt idx="236">
                  <c:v>1040.7</c:v>
                </c:pt>
                <c:pt idx="237">
                  <c:v>1061.75</c:v>
                </c:pt>
                <c:pt idx="238">
                  <c:v>1074.95</c:v>
                </c:pt>
                <c:pt idx="239">
                  <c:v>1067.5</c:v>
                </c:pt>
                <c:pt idx="240">
                  <c:v>1063.4000000000001</c:v>
                </c:pt>
                <c:pt idx="241">
                  <c:v>1084.9000000000001</c:v>
                </c:pt>
                <c:pt idx="242">
                  <c:v>1086.5999999999999</c:v>
                </c:pt>
                <c:pt idx="243">
                  <c:v>1071.8</c:v>
                </c:pt>
                <c:pt idx="244">
                  <c:v>1064.7</c:v>
                </c:pt>
                <c:pt idx="245">
                  <c:v>1069.95</c:v>
                </c:pt>
                <c:pt idx="246">
                  <c:v>1077.45</c:v>
                </c:pt>
                <c:pt idx="247">
                  <c:v>1076.7</c:v>
                </c:pt>
                <c:pt idx="248">
                  <c:v>1078.9000000000001</c:v>
                </c:pt>
                <c:pt idx="249">
                  <c:v>1079.1500000000001</c:v>
                </c:pt>
                <c:pt idx="250">
                  <c:v>1071.8499999999999</c:v>
                </c:pt>
                <c:pt idx="251">
                  <c:v>1108.9000000000001</c:v>
                </c:pt>
                <c:pt idx="252">
                  <c:v>1122.25</c:v>
                </c:pt>
                <c:pt idx="253">
                  <c:v>1136.25</c:v>
                </c:pt>
                <c:pt idx="254">
                  <c:v>1150.9000000000001</c:v>
                </c:pt>
                <c:pt idx="255">
                  <c:v>1148.1500000000001</c:v>
                </c:pt>
                <c:pt idx="256">
                  <c:v>1145.6500000000001</c:v>
                </c:pt>
                <c:pt idx="257">
                  <c:v>1147.25</c:v>
                </c:pt>
                <c:pt idx="258">
                  <c:v>1153.6500000000001</c:v>
                </c:pt>
                <c:pt idx="259">
                  <c:v>1163.25</c:v>
                </c:pt>
                <c:pt idx="260">
                  <c:v>1184.55</c:v>
                </c:pt>
                <c:pt idx="261">
                  <c:v>1166.4000000000001</c:v>
                </c:pt>
                <c:pt idx="262">
                  <c:v>1159.45</c:v>
                </c:pt>
                <c:pt idx="263">
                  <c:v>1160.5</c:v>
                </c:pt>
                <c:pt idx="264">
                  <c:v>1137.0999999999999</c:v>
                </c:pt>
                <c:pt idx="265">
                  <c:v>1136.3</c:v>
                </c:pt>
                <c:pt idx="266">
                  <c:v>1132.5</c:v>
                </c:pt>
                <c:pt idx="267">
                  <c:v>1149.6500000000001</c:v>
                </c:pt>
                <c:pt idx="268">
                  <c:v>1144.8</c:v>
                </c:pt>
                <c:pt idx="269">
                  <c:v>1155.9000000000001</c:v>
                </c:pt>
                <c:pt idx="270">
                  <c:v>1142.4000000000001</c:v>
                </c:pt>
                <c:pt idx="271">
                  <c:v>1139.1500000000001</c:v>
                </c:pt>
                <c:pt idx="272">
                  <c:v>1133.95</c:v>
                </c:pt>
                <c:pt idx="273">
                  <c:v>1126.2</c:v>
                </c:pt>
                <c:pt idx="274">
                  <c:v>1140.7</c:v>
                </c:pt>
                <c:pt idx="275">
                  <c:v>1139.1500000000001</c:v>
                </c:pt>
                <c:pt idx="276">
                  <c:v>1158.1500000000001</c:v>
                </c:pt>
                <c:pt idx="277">
                  <c:v>1171</c:v>
                </c:pt>
                <c:pt idx="278">
                  <c:v>1160.95</c:v>
                </c:pt>
                <c:pt idx="279">
                  <c:v>1159.9000000000001</c:v>
                </c:pt>
                <c:pt idx="280">
                  <c:v>1166.5</c:v>
                </c:pt>
                <c:pt idx="281">
                  <c:v>1171.7</c:v>
                </c:pt>
                <c:pt idx="282">
                  <c:v>1139.25</c:v>
                </c:pt>
                <c:pt idx="283">
                  <c:v>1169.55</c:v>
                </c:pt>
                <c:pt idx="284">
                  <c:v>1159.55</c:v>
                </c:pt>
                <c:pt idx="285">
                  <c:v>1170.4000000000001</c:v>
                </c:pt>
                <c:pt idx="286">
                  <c:v>1186.8499999999999</c:v>
                </c:pt>
                <c:pt idx="287">
                  <c:v>1171.5999999999999</c:v>
                </c:pt>
                <c:pt idx="288">
                  <c:v>1189.3499999999999</c:v>
                </c:pt>
                <c:pt idx="289">
                  <c:v>1167.3499999999999</c:v>
                </c:pt>
                <c:pt idx="290">
                  <c:v>1160.4000000000001</c:v>
                </c:pt>
                <c:pt idx="291">
                  <c:v>1175.75</c:v>
                </c:pt>
                <c:pt idx="292">
                  <c:v>1190.3</c:v>
                </c:pt>
                <c:pt idx="293">
                  <c:v>1196.8499999999999</c:v>
                </c:pt>
                <c:pt idx="294">
                  <c:v>1131.8499999999999</c:v>
                </c:pt>
                <c:pt idx="295">
                  <c:v>1153.2</c:v>
                </c:pt>
                <c:pt idx="296">
                  <c:v>1153.8499999999999</c:v>
                </c:pt>
                <c:pt idx="297">
                  <c:v>1164.3499999999999</c:v>
                </c:pt>
                <c:pt idx="298">
                  <c:v>1172.45</c:v>
                </c:pt>
                <c:pt idx="299">
                  <c:v>1184.25</c:v>
                </c:pt>
                <c:pt idx="300">
                  <c:v>1170.1500000000001</c:v>
                </c:pt>
                <c:pt idx="301">
                  <c:v>1153.3</c:v>
                </c:pt>
                <c:pt idx="302">
                  <c:v>1145.7</c:v>
                </c:pt>
                <c:pt idx="303">
                  <c:v>1178.4000000000001</c:v>
                </c:pt>
                <c:pt idx="304">
                  <c:v>1175.7</c:v>
                </c:pt>
                <c:pt idx="305">
                  <c:v>1226.6500000000001</c:v>
                </c:pt>
                <c:pt idx="306">
                  <c:v>1232.2</c:v>
                </c:pt>
                <c:pt idx="307">
                  <c:v>1273.1500000000001</c:v>
                </c:pt>
                <c:pt idx="308">
                  <c:v>1277.0999999999999</c:v>
                </c:pt>
                <c:pt idx="309">
                  <c:v>1268.0999999999999</c:v>
                </c:pt>
                <c:pt idx="310">
                  <c:v>1239.55</c:v>
                </c:pt>
                <c:pt idx="311">
                  <c:v>1246.8</c:v>
                </c:pt>
                <c:pt idx="312">
                  <c:v>1245</c:v>
                </c:pt>
                <c:pt idx="313">
                  <c:v>1242.7</c:v>
                </c:pt>
                <c:pt idx="314">
                  <c:v>1240.45</c:v>
                </c:pt>
                <c:pt idx="315">
                  <c:v>1232.0999999999999</c:v>
                </c:pt>
                <c:pt idx="316">
                  <c:v>1231.05</c:v>
                </c:pt>
                <c:pt idx="317">
                  <c:v>1217.45</c:v>
                </c:pt>
                <c:pt idx="318">
                  <c:v>1203.3499999999999</c:v>
                </c:pt>
                <c:pt idx="319">
                  <c:v>1186.0999999999999</c:v>
                </c:pt>
                <c:pt idx="320">
                  <c:v>1187.2</c:v>
                </c:pt>
                <c:pt idx="321">
                  <c:v>1170.8499999999999</c:v>
                </c:pt>
                <c:pt idx="322">
                  <c:v>1158.75</c:v>
                </c:pt>
                <c:pt idx="323">
                  <c:v>1180.55</c:v>
                </c:pt>
                <c:pt idx="324">
                  <c:v>1177.7</c:v>
                </c:pt>
                <c:pt idx="325">
                  <c:v>1191.5999999999999</c:v>
                </c:pt>
                <c:pt idx="326">
                  <c:v>1188.8</c:v>
                </c:pt>
                <c:pt idx="327">
                  <c:v>1175.25</c:v>
                </c:pt>
                <c:pt idx="328">
                  <c:v>1175.4000000000001</c:v>
                </c:pt>
                <c:pt idx="329">
                  <c:v>1170.95</c:v>
                </c:pt>
                <c:pt idx="330">
                  <c:v>1181.25</c:v>
                </c:pt>
                <c:pt idx="331">
                  <c:v>1170.3</c:v>
                </c:pt>
                <c:pt idx="332">
                  <c:v>1165.95</c:v>
                </c:pt>
                <c:pt idx="333">
                  <c:v>1169.95</c:v>
                </c:pt>
                <c:pt idx="334">
                  <c:v>1174.4000000000001</c:v>
                </c:pt>
                <c:pt idx="335">
                  <c:v>1168</c:v>
                </c:pt>
                <c:pt idx="336">
                  <c:v>1153.25</c:v>
                </c:pt>
                <c:pt idx="337">
                  <c:v>1166.8499999999999</c:v>
                </c:pt>
                <c:pt idx="338">
                  <c:v>1153.0999999999999</c:v>
                </c:pt>
                <c:pt idx="339">
                  <c:v>1159.5999999999999</c:v>
                </c:pt>
                <c:pt idx="340">
                  <c:v>1164.3</c:v>
                </c:pt>
                <c:pt idx="341">
                  <c:v>1142.75</c:v>
                </c:pt>
                <c:pt idx="342">
                  <c:v>1138.1500000000001</c:v>
                </c:pt>
                <c:pt idx="343">
                  <c:v>1136.8</c:v>
                </c:pt>
                <c:pt idx="344">
                  <c:v>1126.0999999999999</c:v>
                </c:pt>
                <c:pt idx="345">
                  <c:v>1133.5</c:v>
                </c:pt>
                <c:pt idx="346">
                  <c:v>1160.8499999999999</c:v>
                </c:pt>
                <c:pt idx="347">
                  <c:v>1172.3</c:v>
                </c:pt>
                <c:pt idx="348">
                  <c:v>1166.0999999999999</c:v>
                </c:pt>
                <c:pt idx="349">
                  <c:v>1170</c:v>
                </c:pt>
                <c:pt idx="350">
                  <c:v>1170.05</c:v>
                </c:pt>
                <c:pt idx="351">
                  <c:v>1177.3499999999999</c:v>
                </c:pt>
                <c:pt idx="352">
                  <c:v>1175.9000000000001</c:v>
                </c:pt>
                <c:pt idx="353">
                  <c:v>1239.25</c:v>
                </c:pt>
                <c:pt idx="354">
                  <c:v>1263.25</c:v>
                </c:pt>
                <c:pt idx="355">
                  <c:v>1282.5</c:v>
                </c:pt>
                <c:pt idx="356">
                  <c:v>1292.3499999999999</c:v>
                </c:pt>
                <c:pt idx="357">
                  <c:v>1309.4000000000001</c:v>
                </c:pt>
                <c:pt idx="358">
                  <c:v>1304</c:v>
                </c:pt>
                <c:pt idx="359">
                  <c:v>1307.45</c:v>
                </c:pt>
                <c:pt idx="360">
                  <c:v>1317.3</c:v>
                </c:pt>
                <c:pt idx="361">
                  <c:v>1296.75</c:v>
                </c:pt>
                <c:pt idx="362">
                  <c:v>1291.6500000000001</c:v>
                </c:pt>
                <c:pt idx="363">
                  <c:v>1289.4000000000001</c:v>
                </c:pt>
                <c:pt idx="364">
                  <c:v>1287.8499999999999</c:v>
                </c:pt>
                <c:pt idx="365">
                  <c:v>1287.05</c:v>
                </c:pt>
                <c:pt idx="366">
                  <c:v>1280.9000000000001</c:v>
                </c:pt>
                <c:pt idx="367">
                  <c:v>1280</c:v>
                </c:pt>
                <c:pt idx="368">
                  <c:v>1253.4000000000001</c:v>
                </c:pt>
                <c:pt idx="369">
                  <c:v>1261.9000000000001</c:v>
                </c:pt>
                <c:pt idx="370">
                  <c:v>1265.25</c:v>
                </c:pt>
                <c:pt idx="371">
                  <c:v>1288.95</c:v>
                </c:pt>
                <c:pt idx="372">
                  <c:v>1285.4000000000001</c:v>
                </c:pt>
                <c:pt idx="373">
                  <c:v>1271.45</c:v>
                </c:pt>
                <c:pt idx="374">
                  <c:v>1228.0999999999999</c:v>
                </c:pt>
                <c:pt idx="375">
                  <c:v>1237.45</c:v>
                </c:pt>
                <c:pt idx="376">
                  <c:v>1239.5</c:v>
                </c:pt>
                <c:pt idx="377">
                  <c:v>1226.6500000000001</c:v>
                </c:pt>
                <c:pt idx="378">
                  <c:v>1191.9000000000001</c:v>
                </c:pt>
                <c:pt idx="379">
                  <c:v>1181.05</c:v>
                </c:pt>
                <c:pt idx="380">
                  <c:v>1174.6500000000001</c:v>
                </c:pt>
                <c:pt idx="381">
                  <c:v>1187.9000000000001</c:v>
                </c:pt>
                <c:pt idx="382">
                  <c:v>1194.5999999999999</c:v>
                </c:pt>
                <c:pt idx="383">
                  <c:v>1200</c:v>
                </c:pt>
                <c:pt idx="384">
                  <c:v>1186.8</c:v>
                </c:pt>
                <c:pt idx="385">
                  <c:v>1170.95</c:v>
                </c:pt>
                <c:pt idx="386">
                  <c:v>1184.5</c:v>
                </c:pt>
                <c:pt idx="387">
                  <c:v>1131.25</c:v>
                </c:pt>
                <c:pt idx="388">
                  <c:v>1223.9000000000001</c:v>
                </c:pt>
                <c:pt idx="389">
                  <c:v>1162.1500000000001</c:v>
                </c:pt>
                <c:pt idx="390">
                  <c:v>1167.95</c:v>
                </c:pt>
                <c:pt idx="391">
                  <c:v>1159.75</c:v>
                </c:pt>
                <c:pt idx="392">
                  <c:v>1183.4000000000001</c:v>
                </c:pt>
                <c:pt idx="393">
                  <c:v>1187</c:v>
                </c:pt>
                <c:pt idx="394">
                  <c:v>1174</c:v>
                </c:pt>
                <c:pt idx="395">
                  <c:v>1165.25</c:v>
                </c:pt>
                <c:pt idx="396">
                  <c:v>1126</c:v>
                </c:pt>
                <c:pt idx="397">
                  <c:v>1137.6500000000001</c:v>
                </c:pt>
                <c:pt idx="398">
                  <c:v>1143.75</c:v>
                </c:pt>
                <c:pt idx="399">
                  <c:v>1141.3499999999999</c:v>
                </c:pt>
                <c:pt idx="400">
                  <c:v>1139.3</c:v>
                </c:pt>
                <c:pt idx="401">
                  <c:v>1128.05</c:v>
                </c:pt>
                <c:pt idx="402">
                  <c:v>1122.8499999999999</c:v>
                </c:pt>
                <c:pt idx="403">
                  <c:v>1132</c:v>
                </c:pt>
                <c:pt idx="404">
                  <c:v>1120.0999999999999</c:v>
                </c:pt>
                <c:pt idx="405">
                  <c:v>1115.6500000000001</c:v>
                </c:pt>
                <c:pt idx="406">
                  <c:v>1128.6500000000001</c:v>
                </c:pt>
                <c:pt idx="407">
                  <c:v>1127.7</c:v>
                </c:pt>
                <c:pt idx="408">
                  <c:v>1143.6500000000001</c:v>
                </c:pt>
                <c:pt idx="409">
                  <c:v>1141.5</c:v>
                </c:pt>
                <c:pt idx="410">
                  <c:v>1149.8499999999999</c:v>
                </c:pt>
                <c:pt idx="411">
                  <c:v>1165.9000000000001</c:v>
                </c:pt>
                <c:pt idx="412">
                  <c:v>1159.25</c:v>
                </c:pt>
                <c:pt idx="413">
                  <c:v>1130.3</c:v>
                </c:pt>
                <c:pt idx="414">
                  <c:v>1127</c:v>
                </c:pt>
                <c:pt idx="415">
                  <c:v>1063.25</c:v>
                </c:pt>
                <c:pt idx="416">
                  <c:v>1055.75</c:v>
                </c:pt>
                <c:pt idx="417">
                  <c:v>1053.95</c:v>
                </c:pt>
                <c:pt idx="418">
                  <c:v>1029.0999999999999</c:v>
                </c:pt>
                <c:pt idx="419">
                  <c:v>1024</c:v>
                </c:pt>
                <c:pt idx="420">
                  <c:v>1051.9000000000001</c:v>
                </c:pt>
                <c:pt idx="421">
                  <c:v>1057.95</c:v>
                </c:pt>
                <c:pt idx="422">
                  <c:v>1073.45</c:v>
                </c:pt>
                <c:pt idx="423">
                  <c:v>1087.8</c:v>
                </c:pt>
                <c:pt idx="424">
                  <c:v>1080</c:v>
                </c:pt>
                <c:pt idx="425">
                  <c:v>1076.05</c:v>
                </c:pt>
                <c:pt idx="426">
                  <c:v>1059.0999999999999</c:v>
                </c:pt>
                <c:pt idx="427">
                  <c:v>1062.95</c:v>
                </c:pt>
                <c:pt idx="428">
                  <c:v>1063.25</c:v>
                </c:pt>
                <c:pt idx="429">
                  <c:v>1047.2</c:v>
                </c:pt>
                <c:pt idx="430">
                  <c:v>1053.0999999999999</c:v>
                </c:pt>
                <c:pt idx="431">
                  <c:v>1047.2</c:v>
                </c:pt>
                <c:pt idx="432">
                  <c:v>1052.8499999999999</c:v>
                </c:pt>
                <c:pt idx="433">
                  <c:v>1040.55</c:v>
                </c:pt>
                <c:pt idx="434">
                  <c:v>1033.3</c:v>
                </c:pt>
                <c:pt idx="435">
                  <c:v>1035.5999999999999</c:v>
                </c:pt>
                <c:pt idx="436">
                  <c:v>1034.75</c:v>
                </c:pt>
                <c:pt idx="437">
                  <c:v>1050.8</c:v>
                </c:pt>
                <c:pt idx="438">
                  <c:v>1061.3499999999999</c:v>
                </c:pt>
                <c:pt idx="439">
                  <c:v>1046.4000000000001</c:v>
                </c:pt>
                <c:pt idx="440">
                  <c:v>1058.25</c:v>
                </c:pt>
                <c:pt idx="441">
                  <c:v>1080.4000000000001</c:v>
                </c:pt>
                <c:pt idx="442">
                  <c:v>1097</c:v>
                </c:pt>
                <c:pt idx="443">
                  <c:v>1105.0999999999999</c:v>
                </c:pt>
                <c:pt idx="444">
                  <c:v>1111.45</c:v>
                </c:pt>
                <c:pt idx="445">
                  <c:v>1125</c:v>
                </c:pt>
                <c:pt idx="446">
                  <c:v>1100.8</c:v>
                </c:pt>
                <c:pt idx="447">
                  <c:v>1106.75</c:v>
                </c:pt>
                <c:pt idx="448">
                  <c:v>1096.7</c:v>
                </c:pt>
                <c:pt idx="449">
                  <c:v>1099.25</c:v>
                </c:pt>
                <c:pt idx="450">
                  <c:v>1075.0999999999999</c:v>
                </c:pt>
                <c:pt idx="451">
                  <c:v>1074.2</c:v>
                </c:pt>
                <c:pt idx="452">
                  <c:v>1079.05</c:v>
                </c:pt>
                <c:pt idx="453">
                  <c:v>1085.2</c:v>
                </c:pt>
                <c:pt idx="454">
                  <c:v>1096.8</c:v>
                </c:pt>
                <c:pt idx="455">
                  <c:v>1100.9000000000001</c:v>
                </c:pt>
                <c:pt idx="456">
                  <c:v>1084.2</c:v>
                </c:pt>
                <c:pt idx="457">
                  <c:v>1088.5999999999999</c:v>
                </c:pt>
                <c:pt idx="458">
                  <c:v>1062.95</c:v>
                </c:pt>
                <c:pt idx="459">
                  <c:v>1068.75</c:v>
                </c:pt>
                <c:pt idx="460">
                  <c:v>1072.2</c:v>
                </c:pt>
                <c:pt idx="461">
                  <c:v>1096.8499999999999</c:v>
                </c:pt>
                <c:pt idx="462">
                  <c:v>1070.75</c:v>
                </c:pt>
                <c:pt idx="463">
                  <c:v>1046.7</c:v>
                </c:pt>
                <c:pt idx="464">
                  <c:v>1051.4000000000001</c:v>
                </c:pt>
                <c:pt idx="465">
                  <c:v>1035.9000000000001</c:v>
                </c:pt>
                <c:pt idx="466">
                  <c:v>1069.0999999999999</c:v>
                </c:pt>
                <c:pt idx="467">
                  <c:v>1050.05</c:v>
                </c:pt>
                <c:pt idx="468">
                  <c:v>1061.5</c:v>
                </c:pt>
                <c:pt idx="469">
                  <c:v>1067.05</c:v>
                </c:pt>
                <c:pt idx="470">
                  <c:v>1084.25</c:v>
                </c:pt>
                <c:pt idx="471">
                  <c:v>1067.75</c:v>
                </c:pt>
                <c:pt idx="472">
                  <c:v>1054.0999999999999</c:v>
                </c:pt>
                <c:pt idx="473">
                  <c:v>1061.25</c:v>
                </c:pt>
                <c:pt idx="474">
                  <c:v>1042.25</c:v>
                </c:pt>
                <c:pt idx="475">
                  <c:v>1059.1500000000001</c:v>
                </c:pt>
                <c:pt idx="476">
                  <c:v>1089.25</c:v>
                </c:pt>
                <c:pt idx="477">
                  <c:v>1121</c:v>
                </c:pt>
                <c:pt idx="478">
                  <c:v>1116.55</c:v>
                </c:pt>
                <c:pt idx="479">
                  <c:v>1097.5</c:v>
                </c:pt>
                <c:pt idx="480">
                  <c:v>1082.3</c:v>
                </c:pt>
                <c:pt idx="481">
                  <c:v>1119.0999999999999</c:v>
                </c:pt>
                <c:pt idx="482">
                  <c:v>1119.5</c:v>
                </c:pt>
                <c:pt idx="483">
                  <c:v>1120.3499999999999</c:v>
                </c:pt>
                <c:pt idx="484">
                  <c:v>1125.75</c:v>
                </c:pt>
                <c:pt idx="485">
                  <c:v>1107</c:v>
                </c:pt>
                <c:pt idx="486">
                  <c:v>1116.55</c:v>
                </c:pt>
                <c:pt idx="487">
                  <c:v>1122</c:v>
                </c:pt>
                <c:pt idx="488">
                  <c:v>1136.95</c:v>
                </c:pt>
                <c:pt idx="489">
                  <c:v>1123.4000000000001</c:v>
                </c:pt>
                <c:pt idx="490">
                  <c:v>1098.5999999999999</c:v>
                </c:pt>
                <c:pt idx="491">
                  <c:v>1093.25</c:v>
                </c:pt>
                <c:pt idx="492">
                  <c:v>1097.7</c:v>
                </c:pt>
                <c:pt idx="493">
                  <c:v>1102.3</c:v>
                </c:pt>
                <c:pt idx="494">
                  <c:v>1107.8499999999999</c:v>
                </c:pt>
                <c:pt idx="495">
                  <c:v>1106.3499999999999</c:v>
                </c:pt>
                <c:pt idx="496">
                  <c:v>1094.25</c:v>
                </c:pt>
                <c:pt idx="497">
                  <c:v>1088.3</c:v>
                </c:pt>
                <c:pt idx="498">
                  <c:v>1095.4000000000001</c:v>
                </c:pt>
                <c:pt idx="499">
                  <c:v>1110.25</c:v>
                </c:pt>
                <c:pt idx="500">
                  <c:v>1120.25</c:v>
                </c:pt>
                <c:pt idx="501">
                  <c:v>1111.3499999999999</c:v>
                </c:pt>
                <c:pt idx="502">
                  <c:v>1120.3499999999999</c:v>
                </c:pt>
                <c:pt idx="503">
                  <c:v>1120.45</c:v>
                </c:pt>
                <c:pt idx="504">
                  <c:v>1114.8499999999999</c:v>
                </c:pt>
                <c:pt idx="505">
                  <c:v>1131</c:v>
                </c:pt>
                <c:pt idx="506">
                  <c:v>1116.5</c:v>
                </c:pt>
                <c:pt idx="507">
                  <c:v>1131.2</c:v>
                </c:pt>
                <c:pt idx="508">
                  <c:v>1117.8499999999999</c:v>
                </c:pt>
                <c:pt idx="509">
                  <c:v>1120.5</c:v>
                </c:pt>
                <c:pt idx="510">
                  <c:v>1132.45</c:v>
                </c:pt>
                <c:pt idx="511">
                  <c:v>1125.5999999999999</c:v>
                </c:pt>
                <c:pt idx="512">
                  <c:v>1104.6500000000001</c:v>
                </c:pt>
                <c:pt idx="513">
                  <c:v>1074.25</c:v>
                </c:pt>
                <c:pt idx="514">
                  <c:v>1060.1500000000001</c:v>
                </c:pt>
                <c:pt idx="515">
                  <c:v>1021.15</c:v>
                </c:pt>
                <c:pt idx="516">
                  <c:v>1008.5</c:v>
                </c:pt>
                <c:pt idx="517">
                  <c:v>999.05</c:v>
                </c:pt>
                <c:pt idx="518">
                  <c:v>998.1</c:v>
                </c:pt>
                <c:pt idx="519">
                  <c:v>991.8</c:v>
                </c:pt>
                <c:pt idx="520">
                  <c:v>988.7</c:v>
                </c:pt>
                <c:pt idx="521">
                  <c:v>994.35</c:v>
                </c:pt>
                <c:pt idx="522">
                  <c:v>1026.3499999999999</c:v>
                </c:pt>
                <c:pt idx="523">
                  <c:v>1041.3499999999999</c:v>
                </c:pt>
                <c:pt idx="524">
                  <c:v>1025.3499999999999</c:v>
                </c:pt>
                <c:pt idx="525">
                  <c:v>1029.95</c:v>
                </c:pt>
                <c:pt idx="526">
                  <c:v>1029.2</c:v>
                </c:pt>
                <c:pt idx="527">
                  <c:v>1021.9</c:v>
                </c:pt>
                <c:pt idx="528">
                  <c:v>1021.7</c:v>
                </c:pt>
                <c:pt idx="529">
                  <c:v>1020.9</c:v>
                </c:pt>
                <c:pt idx="530">
                  <c:v>1009.4</c:v>
                </c:pt>
                <c:pt idx="531">
                  <c:v>988.85</c:v>
                </c:pt>
                <c:pt idx="532">
                  <c:v>982.95</c:v>
                </c:pt>
                <c:pt idx="533">
                  <c:v>971.8</c:v>
                </c:pt>
                <c:pt idx="534">
                  <c:v>981.85</c:v>
                </c:pt>
                <c:pt idx="535">
                  <c:v>989.2</c:v>
                </c:pt>
                <c:pt idx="536">
                  <c:v>1002.75</c:v>
                </c:pt>
                <c:pt idx="537">
                  <c:v>972.05</c:v>
                </c:pt>
                <c:pt idx="538">
                  <c:v>955.45</c:v>
                </c:pt>
                <c:pt idx="539">
                  <c:v>964.3</c:v>
                </c:pt>
                <c:pt idx="540">
                  <c:v>980.35</c:v>
                </c:pt>
                <c:pt idx="541">
                  <c:v>991.4</c:v>
                </c:pt>
                <c:pt idx="542">
                  <c:v>992.85</c:v>
                </c:pt>
                <c:pt idx="543">
                  <c:v>1008.05</c:v>
                </c:pt>
                <c:pt idx="544">
                  <c:v>1004.8</c:v>
                </c:pt>
                <c:pt idx="545">
                  <c:v>994.05</c:v>
                </c:pt>
                <c:pt idx="546">
                  <c:v>1018.45</c:v>
                </c:pt>
                <c:pt idx="547">
                  <c:v>1019.1</c:v>
                </c:pt>
                <c:pt idx="548">
                  <c:v>1012.25</c:v>
                </c:pt>
                <c:pt idx="549">
                  <c:v>996.25</c:v>
                </c:pt>
                <c:pt idx="550">
                  <c:v>1000.95</c:v>
                </c:pt>
                <c:pt idx="551">
                  <c:v>1003.25</c:v>
                </c:pt>
                <c:pt idx="552">
                  <c:v>995.55</c:v>
                </c:pt>
                <c:pt idx="553">
                  <c:v>1041.05</c:v>
                </c:pt>
                <c:pt idx="554">
                  <c:v>1036.7</c:v>
                </c:pt>
                <c:pt idx="555">
                  <c:v>1030.9000000000001</c:v>
                </c:pt>
                <c:pt idx="556">
                  <c:v>1025.2</c:v>
                </c:pt>
                <c:pt idx="557">
                  <c:v>1014.15</c:v>
                </c:pt>
                <c:pt idx="558">
                  <c:v>1018.95</c:v>
                </c:pt>
                <c:pt idx="559">
                  <c:v>1018.25</c:v>
                </c:pt>
                <c:pt idx="560">
                  <c:v>1014.45</c:v>
                </c:pt>
                <c:pt idx="561">
                  <c:v>1027.3</c:v>
                </c:pt>
                <c:pt idx="562">
                  <c:v>1024.75</c:v>
                </c:pt>
                <c:pt idx="563">
                  <c:v>1027.1500000000001</c:v>
                </c:pt>
                <c:pt idx="564">
                  <c:v>1020.9</c:v>
                </c:pt>
                <c:pt idx="565">
                  <c:v>1014.45</c:v>
                </c:pt>
                <c:pt idx="566">
                  <c:v>1000.9</c:v>
                </c:pt>
                <c:pt idx="567">
                  <c:v>1000.4</c:v>
                </c:pt>
                <c:pt idx="568">
                  <c:v>980.3</c:v>
                </c:pt>
                <c:pt idx="569">
                  <c:v>978.2</c:v>
                </c:pt>
                <c:pt idx="570">
                  <c:v>965.05</c:v>
                </c:pt>
                <c:pt idx="571">
                  <c:v>981.45</c:v>
                </c:pt>
                <c:pt idx="572">
                  <c:v>982.25</c:v>
                </c:pt>
                <c:pt idx="573">
                  <c:v>991.15</c:v>
                </c:pt>
                <c:pt idx="574">
                  <c:v>973.5</c:v>
                </c:pt>
                <c:pt idx="575">
                  <c:v>983.35</c:v>
                </c:pt>
                <c:pt idx="576">
                  <c:v>980.7</c:v>
                </c:pt>
                <c:pt idx="577">
                  <c:v>990.2</c:v>
                </c:pt>
                <c:pt idx="578">
                  <c:v>983.1</c:v>
                </c:pt>
                <c:pt idx="579">
                  <c:v>981.35</c:v>
                </c:pt>
                <c:pt idx="580">
                  <c:v>979.25</c:v>
                </c:pt>
                <c:pt idx="581">
                  <c:v>957.05</c:v>
                </c:pt>
                <c:pt idx="582">
                  <c:v>952.6</c:v>
                </c:pt>
                <c:pt idx="583">
                  <c:v>943.05</c:v>
                </c:pt>
                <c:pt idx="584">
                  <c:v>936.55</c:v>
                </c:pt>
                <c:pt idx="585">
                  <c:v>933.05</c:v>
                </c:pt>
                <c:pt idx="586">
                  <c:v>939.95</c:v>
                </c:pt>
                <c:pt idx="587">
                  <c:v>937.2</c:v>
                </c:pt>
                <c:pt idx="588">
                  <c:v>939.75</c:v>
                </c:pt>
                <c:pt idx="589">
                  <c:v>950</c:v>
                </c:pt>
                <c:pt idx="590">
                  <c:v>952.9</c:v>
                </c:pt>
                <c:pt idx="591">
                  <c:v>947.4</c:v>
                </c:pt>
                <c:pt idx="592">
                  <c:v>952.25</c:v>
                </c:pt>
                <c:pt idx="593">
                  <c:v>935.55</c:v>
                </c:pt>
                <c:pt idx="594">
                  <c:v>945.25</c:v>
                </c:pt>
                <c:pt idx="595">
                  <c:v>959.9</c:v>
                </c:pt>
                <c:pt idx="596">
                  <c:v>953.9</c:v>
                </c:pt>
                <c:pt idx="597">
                  <c:v>949.95</c:v>
                </c:pt>
                <c:pt idx="598">
                  <c:v>959.9</c:v>
                </c:pt>
                <c:pt idx="599">
                  <c:v>976.8</c:v>
                </c:pt>
                <c:pt idx="600">
                  <c:v>962.5</c:v>
                </c:pt>
                <c:pt idx="601">
                  <c:v>971.5</c:v>
                </c:pt>
                <c:pt idx="602">
                  <c:v>971.3</c:v>
                </c:pt>
                <c:pt idx="603">
                  <c:v>977.9</c:v>
                </c:pt>
                <c:pt idx="604">
                  <c:v>964.3</c:v>
                </c:pt>
                <c:pt idx="605">
                  <c:v>963.65</c:v>
                </c:pt>
                <c:pt idx="606">
                  <c:v>964.85</c:v>
                </c:pt>
                <c:pt idx="607">
                  <c:v>957.05</c:v>
                </c:pt>
                <c:pt idx="608">
                  <c:v>960.15</c:v>
                </c:pt>
                <c:pt idx="609">
                  <c:v>950</c:v>
                </c:pt>
                <c:pt idx="610">
                  <c:v>953.2</c:v>
                </c:pt>
                <c:pt idx="611">
                  <c:v>964.05</c:v>
                </c:pt>
                <c:pt idx="612">
                  <c:v>976.7</c:v>
                </c:pt>
                <c:pt idx="613">
                  <c:v>980.95</c:v>
                </c:pt>
                <c:pt idx="614">
                  <c:v>966.5</c:v>
                </c:pt>
                <c:pt idx="615">
                  <c:v>970.7</c:v>
                </c:pt>
                <c:pt idx="616">
                  <c:v>982.1</c:v>
                </c:pt>
                <c:pt idx="617">
                  <c:v>987.45</c:v>
                </c:pt>
                <c:pt idx="618">
                  <c:v>978.2</c:v>
                </c:pt>
                <c:pt idx="619">
                  <c:v>973.25</c:v>
                </c:pt>
                <c:pt idx="620">
                  <c:v>960.55</c:v>
                </c:pt>
                <c:pt idx="621">
                  <c:v>958.4</c:v>
                </c:pt>
                <c:pt idx="622">
                  <c:v>966.6</c:v>
                </c:pt>
                <c:pt idx="623">
                  <c:v>966</c:v>
                </c:pt>
                <c:pt idx="624">
                  <c:v>974.85</c:v>
                </c:pt>
                <c:pt idx="625">
                  <c:v>965.65</c:v>
                </c:pt>
                <c:pt idx="626">
                  <c:v>981.55</c:v>
                </c:pt>
                <c:pt idx="627">
                  <c:v>977.15</c:v>
                </c:pt>
                <c:pt idx="628">
                  <c:v>977.7</c:v>
                </c:pt>
                <c:pt idx="629">
                  <c:v>985.85</c:v>
                </c:pt>
                <c:pt idx="630">
                  <c:v>974.2</c:v>
                </c:pt>
                <c:pt idx="631">
                  <c:v>974.75</c:v>
                </c:pt>
                <c:pt idx="632">
                  <c:v>962.1</c:v>
                </c:pt>
                <c:pt idx="633">
                  <c:v>976.75</c:v>
                </c:pt>
                <c:pt idx="634">
                  <c:v>968.2</c:v>
                </c:pt>
                <c:pt idx="635">
                  <c:v>950.85</c:v>
                </c:pt>
                <c:pt idx="636">
                  <c:v>926.1</c:v>
                </c:pt>
                <c:pt idx="637">
                  <c:v>919.7</c:v>
                </c:pt>
                <c:pt idx="638">
                  <c:v>914.85</c:v>
                </c:pt>
                <c:pt idx="639">
                  <c:v>937.45</c:v>
                </c:pt>
                <c:pt idx="640">
                  <c:v>929.8</c:v>
                </c:pt>
                <c:pt idx="641">
                  <c:v>926.95</c:v>
                </c:pt>
                <c:pt idx="642">
                  <c:v>921.05</c:v>
                </c:pt>
                <c:pt idx="643">
                  <c:v>917.7</c:v>
                </c:pt>
                <c:pt idx="644">
                  <c:v>916.15</c:v>
                </c:pt>
                <c:pt idx="645">
                  <c:v>917.55</c:v>
                </c:pt>
                <c:pt idx="646">
                  <c:v>924.05</c:v>
                </c:pt>
                <c:pt idx="647">
                  <c:v>914.7</c:v>
                </c:pt>
                <c:pt idx="648">
                  <c:v>914.8</c:v>
                </c:pt>
                <c:pt idx="649">
                  <c:v>917.8</c:v>
                </c:pt>
                <c:pt idx="650">
                  <c:v>915.8</c:v>
                </c:pt>
                <c:pt idx="651">
                  <c:v>910.65</c:v>
                </c:pt>
                <c:pt idx="652">
                  <c:v>895.95</c:v>
                </c:pt>
                <c:pt idx="653">
                  <c:v>889.9</c:v>
                </c:pt>
                <c:pt idx="654">
                  <c:v>888.25</c:v>
                </c:pt>
                <c:pt idx="655">
                  <c:v>878.45</c:v>
                </c:pt>
                <c:pt idx="656">
                  <c:v>865.3</c:v>
                </c:pt>
                <c:pt idx="657">
                  <c:v>865.95</c:v>
                </c:pt>
                <c:pt idx="658">
                  <c:v>859.85</c:v>
                </c:pt>
                <c:pt idx="659">
                  <c:v>870.65</c:v>
                </c:pt>
                <c:pt idx="660">
                  <c:v>860</c:v>
                </c:pt>
                <c:pt idx="661">
                  <c:v>881.4</c:v>
                </c:pt>
                <c:pt idx="662">
                  <c:v>887.65</c:v>
                </c:pt>
                <c:pt idx="663">
                  <c:v>878.35</c:v>
                </c:pt>
                <c:pt idx="664">
                  <c:v>882.3</c:v>
                </c:pt>
                <c:pt idx="665">
                  <c:v>864.2</c:v>
                </c:pt>
                <c:pt idx="666">
                  <c:v>868.75</c:v>
                </c:pt>
                <c:pt idx="667">
                  <c:v>873.4</c:v>
                </c:pt>
                <c:pt idx="668">
                  <c:v>863.35</c:v>
                </c:pt>
                <c:pt idx="669">
                  <c:v>864.55</c:v>
                </c:pt>
                <c:pt idx="670">
                  <c:v>864.35</c:v>
                </c:pt>
                <c:pt idx="671">
                  <c:v>851.05</c:v>
                </c:pt>
                <c:pt idx="672">
                  <c:v>853.3</c:v>
                </c:pt>
                <c:pt idx="673">
                  <c:v>847.35</c:v>
                </c:pt>
                <c:pt idx="674">
                  <c:v>851.95</c:v>
                </c:pt>
                <c:pt idx="675">
                  <c:v>860.5</c:v>
                </c:pt>
                <c:pt idx="676">
                  <c:v>864.6</c:v>
                </c:pt>
                <c:pt idx="677">
                  <c:v>858.5</c:v>
                </c:pt>
                <c:pt idx="678">
                  <c:v>842.6</c:v>
                </c:pt>
                <c:pt idx="679">
                  <c:v>832.45</c:v>
                </c:pt>
                <c:pt idx="680">
                  <c:v>833.35</c:v>
                </c:pt>
                <c:pt idx="681">
                  <c:v>839.9</c:v>
                </c:pt>
                <c:pt idx="682">
                  <c:v>848.8</c:v>
                </c:pt>
                <c:pt idx="683">
                  <c:v>849.65</c:v>
                </c:pt>
                <c:pt idx="684">
                  <c:v>855.6</c:v>
                </c:pt>
                <c:pt idx="685">
                  <c:v>837.55</c:v>
                </c:pt>
                <c:pt idx="686">
                  <c:v>837.4</c:v>
                </c:pt>
                <c:pt idx="687">
                  <c:v>830.55</c:v>
                </c:pt>
                <c:pt idx="688">
                  <c:v>824.05</c:v>
                </c:pt>
                <c:pt idx="689">
                  <c:v>832.85</c:v>
                </c:pt>
                <c:pt idx="690">
                  <c:v>832.35</c:v>
                </c:pt>
                <c:pt idx="691">
                  <c:v>851.9</c:v>
                </c:pt>
                <c:pt idx="692">
                  <c:v>867.8</c:v>
                </c:pt>
                <c:pt idx="693">
                  <c:v>860.95</c:v>
                </c:pt>
                <c:pt idx="694">
                  <c:v>859.5</c:v>
                </c:pt>
                <c:pt idx="695">
                  <c:v>852.65</c:v>
                </c:pt>
                <c:pt idx="696">
                  <c:v>845.45</c:v>
                </c:pt>
                <c:pt idx="697">
                  <c:v>865.15</c:v>
                </c:pt>
                <c:pt idx="698">
                  <c:v>844.1</c:v>
                </c:pt>
                <c:pt idx="699">
                  <c:v>854.35</c:v>
                </c:pt>
                <c:pt idx="700">
                  <c:v>851.4</c:v>
                </c:pt>
                <c:pt idx="701">
                  <c:v>844.35</c:v>
                </c:pt>
                <c:pt idx="702">
                  <c:v>833.35</c:v>
                </c:pt>
                <c:pt idx="703">
                  <c:v>844.05</c:v>
                </c:pt>
                <c:pt idx="704">
                  <c:v>846.75</c:v>
                </c:pt>
                <c:pt idx="705">
                  <c:v>854.9</c:v>
                </c:pt>
                <c:pt idx="706">
                  <c:v>864.75</c:v>
                </c:pt>
                <c:pt idx="707">
                  <c:v>868.3</c:v>
                </c:pt>
                <c:pt idx="708">
                  <c:v>870.75</c:v>
                </c:pt>
                <c:pt idx="709">
                  <c:v>859.1</c:v>
                </c:pt>
                <c:pt idx="710">
                  <c:v>867.25</c:v>
                </c:pt>
                <c:pt idx="711">
                  <c:v>867.7</c:v>
                </c:pt>
                <c:pt idx="712">
                  <c:v>871.75</c:v>
                </c:pt>
                <c:pt idx="713">
                  <c:v>879.1</c:v>
                </c:pt>
                <c:pt idx="714">
                  <c:v>882.65</c:v>
                </c:pt>
                <c:pt idx="715">
                  <c:v>882.6</c:v>
                </c:pt>
                <c:pt idx="716">
                  <c:v>868.45</c:v>
                </c:pt>
                <c:pt idx="717">
                  <c:v>857.25</c:v>
                </c:pt>
                <c:pt idx="718">
                  <c:v>871.6</c:v>
                </c:pt>
                <c:pt idx="719">
                  <c:v>871.85</c:v>
                </c:pt>
                <c:pt idx="720">
                  <c:v>873.75</c:v>
                </c:pt>
                <c:pt idx="721">
                  <c:v>892.35</c:v>
                </c:pt>
                <c:pt idx="722">
                  <c:v>910.2</c:v>
                </c:pt>
                <c:pt idx="723">
                  <c:v>932.7</c:v>
                </c:pt>
                <c:pt idx="724">
                  <c:v>930.55</c:v>
                </c:pt>
                <c:pt idx="725">
                  <c:v>928.7</c:v>
                </c:pt>
                <c:pt idx="726">
                  <c:v>924</c:v>
                </c:pt>
                <c:pt idx="727">
                  <c:v>917.7</c:v>
                </c:pt>
                <c:pt idx="728">
                  <c:v>913.15</c:v>
                </c:pt>
                <c:pt idx="729">
                  <c:v>934.15</c:v>
                </c:pt>
                <c:pt idx="730">
                  <c:v>935.55</c:v>
                </c:pt>
                <c:pt idx="731">
                  <c:v>949.75</c:v>
                </c:pt>
                <c:pt idx="732">
                  <c:v>952.15</c:v>
                </c:pt>
                <c:pt idx="733">
                  <c:v>958.75</c:v>
                </c:pt>
                <c:pt idx="734">
                  <c:v>939.9</c:v>
                </c:pt>
                <c:pt idx="735">
                  <c:v>949.55</c:v>
                </c:pt>
                <c:pt idx="736">
                  <c:v>957.45</c:v>
                </c:pt>
                <c:pt idx="737">
                  <c:v>962.3</c:v>
                </c:pt>
                <c:pt idx="738">
                  <c:v>941.6</c:v>
                </c:pt>
                <c:pt idx="739">
                  <c:v>933.75</c:v>
                </c:pt>
                <c:pt idx="740">
                  <c:v>934.55</c:v>
                </c:pt>
                <c:pt idx="741">
                  <c:v>924.7</c:v>
                </c:pt>
                <c:pt idx="742">
                  <c:v>932.2</c:v>
                </c:pt>
                <c:pt idx="743">
                  <c:v>928.7</c:v>
                </c:pt>
                <c:pt idx="744">
                  <c:v>906.6</c:v>
                </c:pt>
                <c:pt idx="745">
                  <c:v>919.55</c:v>
                </c:pt>
                <c:pt idx="746">
                  <c:v>932.3</c:v>
                </c:pt>
                <c:pt idx="747">
                  <c:v>949.75</c:v>
                </c:pt>
                <c:pt idx="748">
                  <c:v>946.2</c:v>
                </c:pt>
                <c:pt idx="749">
                  <c:v>935.1</c:v>
                </c:pt>
                <c:pt idx="750">
                  <c:v>938.15</c:v>
                </c:pt>
                <c:pt idx="751">
                  <c:v>942.4</c:v>
                </c:pt>
                <c:pt idx="752">
                  <c:v>944.6</c:v>
                </c:pt>
                <c:pt idx="753">
                  <c:v>938.65</c:v>
                </c:pt>
                <c:pt idx="754">
                  <c:v>933.7</c:v>
                </c:pt>
                <c:pt idx="755">
                  <c:v>939.35</c:v>
                </c:pt>
                <c:pt idx="756">
                  <c:v>914.65</c:v>
                </c:pt>
                <c:pt idx="757">
                  <c:v>904.65</c:v>
                </c:pt>
                <c:pt idx="758">
                  <c:v>899.2</c:v>
                </c:pt>
                <c:pt idx="759">
                  <c:v>905.15</c:v>
                </c:pt>
                <c:pt idx="760">
                  <c:v>903.85</c:v>
                </c:pt>
                <c:pt idx="761">
                  <c:v>901.25</c:v>
                </c:pt>
                <c:pt idx="762">
                  <c:v>892.55</c:v>
                </c:pt>
                <c:pt idx="763">
                  <c:v>891.7</c:v>
                </c:pt>
                <c:pt idx="764">
                  <c:v>887.75</c:v>
                </c:pt>
                <c:pt idx="765">
                  <c:v>878.55</c:v>
                </c:pt>
                <c:pt idx="766">
                  <c:v>874.7</c:v>
                </c:pt>
                <c:pt idx="767">
                  <c:v>870.05</c:v>
                </c:pt>
                <c:pt idx="768">
                  <c:v>870.05</c:v>
                </c:pt>
                <c:pt idx="769">
                  <c:v>859.2</c:v>
                </c:pt>
                <c:pt idx="770">
                  <c:v>858.2</c:v>
                </c:pt>
                <c:pt idx="771">
                  <c:v>855.4</c:v>
                </c:pt>
                <c:pt idx="772">
                  <c:v>858.65</c:v>
                </c:pt>
                <c:pt idx="773">
                  <c:v>851</c:v>
                </c:pt>
                <c:pt idx="774">
                  <c:v>850.7</c:v>
                </c:pt>
                <c:pt idx="775">
                  <c:v>843.7</c:v>
                </c:pt>
                <c:pt idx="776">
                  <c:v>873.7</c:v>
                </c:pt>
                <c:pt idx="777">
                  <c:v>872.95</c:v>
                </c:pt>
                <c:pt idx="778">
                  <c:v>868.1</c:v>
                </c:pt>
                <c:pt idx="779">
                  <c:v>864.05</c:v>
                </c:pt>
                <c:pt idx="780">
                  <c:v>863.55</c:v>
                </c:pt>
                <c:pt idx="781">
                  <c:v>871.75</c:v>
                </c:pt>
                <c:pt idx="782">
                  <c:v>906</c:v>
                </c:pt>
                <c:pt idx="783">
                  <c:v>903.05</c:v>
                </c:pt>
                <c:pt idx="784">
                  <c:v>915.15</c:v>
                </c:pt>
                <c:pt idx="785">
                  <c:v>902.85</c:v>
                </c:pt>
                <c:pt idx="786">
                  <c:v>909.45</c:v>
                </c:pt>
                <c:pt idx="787">
                  <c:v>900.4</c:v>
                </c:pt>
                <c:pt idx="788">
                  <c:v>825.85</c:v>
                </c:pt>
                <c:pt idx="789">
                  <c:v>829.85</c:v>
                </c:pt>
                <c:pt idx="790">
                  <c:v>816.35</c:v>
                </c:pt>
                <c:pt idx="791">
                  <c:v>814.15</c:v>
                </c:pt>
                <c:pt idx="792">
                  <c:v>800.5</c:v>
                </c:pt>
                <c:pt idx="793">
                  <c:v>802</c:v>
                </c:pt>
                <c:pt idx="794">
                  <c:v>808.7</c:v>
                </c:pt>
                <c:pt idx="795">
                  <c:v>785.55</c:v>
                </c:pt>
                <c:pt idx="796">
                  <c:v>776.85</c:v>
                </c:pt>
                <c:pt idx="797">
                  <c:v>755.7</c:v>
                </c:pt>
                <c:pt idx="798">
                  <c:v>755.1</c:v>
                </c:pt>
                <c:pt idx="799">
                  <c:v>742.8</c:v>
                </c:pt>
                <c:pt idx="800">
                  <c:v>722.75</c:v>
                </c:pt>
                <c:pt idx="801">
                  <c:v>733.2</c:v>
                </c:pt>
                <c:pt idx="802">
                  <c:v>719</c:v>
                </c:pt>
                <c:pt idx="803">
                  <c:v>716.45</c:v>
                </c:pt>
                <c:pt idx="804">
                  <c:v>737.5</c:v>
                </c:pt>
                <c:pt idx="805">
                  <c:v>742.6</c:v>
                </c:pt>
                <c:pt idx="806">
                  <c:v>768.6</c:v>
                </c:pt>
                <c:pt idx="807">
                  <c:v>789.2</c:v>
                </c:pt>
                <c:pt idx="808">
                  <c:v>806.55</c:v>
                </c:pt>
                <c:pt idx="809">
                  <c:v>812.75</c:v>
                </c:pt>
                <c:pt idx="810">
                  <c:v>798.1</c:v>
                </c:pt>
                <c:pt idx="811">
                  <c:v>789.3</c:v>
                </c:pt>
                <c:pt idx="812">
                  <c:v>790</c:v>
                </c:pt>
                <c:pt idx="813">
                  <c:v>803.05</c:v>
                </c:pt>
                <c:pt idx="814">
                  <c:v>805.55</c:v>
                </c:pt>
                <c:pt idx="815">
                  <c:v>801</c:v>
                </c:pt>
                <c:pt idx="816">
                  <c:v>784.85</c:v>
                </c:pt>
                <c:pt idx="817">
                  <c:v>779.75</c:v>
                </c:pt>
                <c:pt idx="818">
                  <c:v>755.4</c:v>
                </c:pt>
                <c:pt idx="819">
                  <c:v>750</c:v>
                </c:pt>
                <c:pt idx="820">
                  <c:v>756.1</c:v>
                </c:pt>
                <c:pt idx="821">
                  <c:v>750.2</c:v>
                </c:pt>
                <c:pt idx="822">
                  <c:v>744.15</c:v>
                </c:pt>
                <c:pt idx="823">
                  <c:v>751.5</c:v>
                </c:pt>
                <c:pt idx="824">
                  <c:v>728.7</c:v>
                </c:pt>
                <c:pt idx="825">
                  <c:v>744.9</c:v>
                </c:pt>
                <c:pt idx="826">
                  <c:v>743.35</c:v>
                </c:pt>
                <c:pt idx="827">
                  <c:v>750.15</c:v>
                </c:pt>
                <c:pt idx="828">
                  <c:v>747.05</c:v>
                </c:pt>
                <c:pt idx="829">
                  <c:v>741.85</c:v>
                </c:pt>
                <c:pt idx="830">
                  <c:v>757.5</c:v>
                </c:pt>
                <c:pt idx="831">
                  <c:v>765.05</c:v>
                </c:pt>
                <c:pt idx="832">
                  <c:v>772.1</c:v>
                </c:pt>
                <c:pt idx="833">
                  <c:v>764.65</c:v>
                </c:pt>
                <c:pt idx="834">
                  <c:v>760.55</c:v>
                </c:pt>
                <c:pt idx="835">
                  <c:v>758.85</c:v>
                </c:pt>
                <c:pt idx="836">
                  <c:v>739</c:v>
                </c:pt>
                <c:pt idx="837">
                  <c:v>745.55</c:v>
                </c:pt>
                <c:pt idx="838">
                  <c:v>728.5</c:v>
                </c:pt>
                <c:pt idx="839">
                  <c:v>721.6</c:v>
                </c:pt>
                <c:pt idx="840">
                  <c:v>730.5</c:v>
                </c:pt>
                <c:pt idx="841">
                  <c:v>730.45</c:v>
                </c:pt>
                <c:pt idx="842">
                  <c:v>730.8</c:v>
                </c:pt>
                <c:pt idx="843">
                  <c:v>724.75</c:v>
                </c:pt>
                <c:pt idx="844">
                  <c:v>725.9</c:v>
                </c:pt>
                <c:pt idx="845">
                  <c:v>718.95</c:v>
                </c:pt>
                <c:pt idx="846">
                  <c:v>706.45</c:v>
                </c:pt>
                <c:pt idx="847">
                  <c:v>727.35</c:v>
                </c:pt>
                <c:pt idx="848">
                  <c:v>730.75</c:v>
                </c:pt>
                <c:pt idx="849">
                  <c:v>715.55</c:v>
                </c:pt>
                <c:pt idx="850">
                  <c:v>705.7</c:v>
                </c:pt>
                <c:pt idx="851">
                  <c:v>700.6</c:v>
                </c:pt>
                <c:pt idx="852">
                  <c:v>684.5</c:v>
                </c:pt>
                <c:pt idx="853">
                  <c:v>662.2</c:v>
                </c:pt>
                <c:pt idx="854">
                  <c:v>668.25</c:v>
                </c:pt>
                <c:pt idx="855">
                  <c:v>679.9</c:v>
                </c:pt>
                <c:pt idx="856">
                  <c:v>676.2</c:v>
                </c:pt>
                <c:pt idx="857">
                  <c:v>679.85</c:v>
                </c:pt>
                <c:pt idx="858">
                  <c:v>669.15</c:v>
                </c:pt>
                <c:pt idx="859">
                  <c:v>658.15</c:v>
                </c:pt>
                <c:pt idx="860">
                  <c:v>657.95</c:v>
                </c:pt>
                <c:pt idx="861">
                  <c:v>648.5</c:v>
                </c:pt>
                <c:pt idx="862">
                  <c:v>654.35</c:v>
                </c:pt>
                <c:pt idx="863">
                  <c:v>643.95000000000005</c:v>
                </c:pt>
                <c:pt idx="864">
                  <c:v>636.79999999999995</c:v>
                </c:pt>
                <c:pt idx="865">
                  <c:v>625.54999999999995</c:v>
                </c:pt>
                <c:pt idx="866">
                  <c:v>642.35</c:v>
                </c:pt>
                <c:pt idx="867">
                  <c:v>637.1</c:v>
                </c:pt>
                <c:pt idx="868">
                  <c:v>634</c:v>
                </c:pt>
                <c:pt idx="869">
                  <c:v>629.35</c:v>
                </c:pt>
                <c:pt idx="870">
                  <c:v>626.79999999999995</c:v>
                </c:pt>
                <c:pt idx="871">
                  <c:v>636.5</c:v>
                </c:pt>
                <c:pt idx="872">
                  <c:v>628.29999999999995</c:v>
                </c:pt>
                <c:pt idx="873">
                  <c:v>635.20000000000005</c:v>
                </c:pt>
                <c:pt idx="874">
                  <c:v>634.9</c:v>
                </c:pt>
                <c:pt idx="875">
                  <c:v>650.5</c:v>
                </c:pt>
                <c:pt idx="876">
                  <c:v>650.75</c:v>
                </c:pt>
                <c:pt idx="877">
                  <c:v>648.95000000000005</c:v>
                </c:pt>
                <c:pt idx="878">
                  <c:v>660.7</c:v>
                </c:pt>
                <c:pt idx="879">
                  <c:v>661.3</c:v>
                </c:pt>
                <c:pt idx="880">
                  <c:v>658.6</c:v>
                </c:pt>
                <c:pt idx="881">
                  <c:v>665.85</c:v>
                </c:pt>
                <c:pt idx="882">
                  <c:v>672.2</c:v>
                </c:pt>
                <c:pt idx="883">
                  <c:v>677.3</c:v>
                </c:pt>
                <c:pt idx="884">
                  <c:v>691.55</c:v>
                </c:pt>
                <c:pt idx="885">
                  <c:v>686.05</c:v>
                </c:pt>
                <c:pt idx="886">
                  <c:v>685.2</c:v>
                </c:pt>
                <c:pt idx="887">
                  <c:v>693.65</c:v>
                </c:pt>
                <c:pt idx="888">
                  <c:v>688.3</c:v>
                </c:pt>
                <c:pt idx="889">
                  <c:v>683.25</c:v>
                </c:pt>
                <c:pt idx="890">
                  <c:v>665</c:v>
                </c:pt>
                <c:pt idx="891">
                  <c:v>664.05</c:v>
                </c:pt>
                <c:pt idx="892">
                  <c:v>675.35</c:v>
                </c:pt>
                <c:pt idx="893">
                  <c:v>673.1</c:v>
                </c:pt>
                <c:pt idx="894">
                  <c:v>650.20000000000005</c:v>
                </c:pt>
                <c:pt idx="895">
                  <c:v>659.45</c:v>
                </c:pt>
                <c:pt idx="896">
                  <c:v>654.95000000000005</c:v>
                </c:pt>
                <c:pt idx="897">
                  <c:v>638.95000000000005</c:v>
                </c:pt>
                <c:pt idx="898">
                  <c:v>635.95000000000005</c:v>
                </c:pt>
                <c:pt idx="899">
                  <c:v>649.65</c:v>
                </c:pt>
                <c:pt idx="900">
                  <c:v>672.35</c:v>
                </c:pt>
                <c:pt idx="901">
                  <c:v>659.75</c:v>
                </c:pt>
                <c:pt idx="902">
                  <c:v>663.7</c:v>
                </c:pt>
                <c:pt idx="903">
                  <c:v>673.4</c:v>
                </c:pt>
                <c:pt idx="904">
                  <c:v>702.35</c:v>
                </c:pt>
                <c:pt idx="905">
                  <c:v>707.2</c:v>
                </c:pt>
                <c:pt idx="906">
                  <c:v>727.35</c:v>
                </c:pt>
                <c:pt idx="907">
                  <c:v>728.6</c:v>
                </c:pt>
                <c:pt idx="908">
                  <c:v>779.8</c:v>
                </c:pt>
                <c:pt idx="909">
                  <c:v>765.9</c:v>
                </c:pt>
                <c:pt idx="910">
                  <c:v>775</c:v>
                </c:pt>
                <c:pt idx="911">
                  <c:v>780.7</c:v>
                </c:pt>
                <c:pt idx="912">
                  <c:v>780.6</c:v>
                </c:pt>
                <c:pt idx="913">
                  <c:v>801.8</c:v>
                </c:pt>
                <c:pt idx="914">
                  <c:v>794.7</c:v>
                </c:pt>
                <c:pt idx="915">
                  <c:v>797.8</c:v>
                </c:pt>
                <c:pt idx="916">
                  <c:v>798.85</c:v>
                </c:pt>
                <c:pt idx="917">
                  <c:v>793.05</c:v>
                </c:pt>
                <c:pt idx="918">
                  <c:v>798.45</c:v>
                </c:pt>
                <c:pt idx="919">
                  <c:v>786.05</c:v>
                </c:pt>
                <c:pt idx="920">
                  <c:v>794.9</c:v>
                </c:pt>
                <c:pt idx="921">
                  <c:v>792.1</c:v>
                </c:pt>
                <c:pt idx="922">
                  <c:v>773.7</c:v>
                </c:pt>
                <c:pt idx="923">
                  <c:v>783.1</c:v>
                </c:pt>
                <c:pt idx="924">
                  <c:v>784.1</c:v>
                </c:pt>
                <c:pt idx="925">
                  <c:v>774.55</c:v>
                </c:pt>
                <c:pt idx="926">
                  <c:v>761.15</c:v>
                </c:pt>
                <c:pt idx="927">
                  <c:v>750.45</c:v>
                </c:pt>
                <c:pt idx="928">
                  <c:v>737.8</c:v>
                </c:pt>
                <c:pt idx="929">
                  <c:v>736</c:v>
                </c:pt>
                <c:pt idx="930">
                  <c:v>721.25</c:v>
                </c:pt>
                <c:pt idx="931">
                  <c:v>722.25</c:v>
                </c:pt>
                <c:pt idx="932">
                  <c:v>726.75</c:v>
                </c:pt>
                <c:pt idx="933">
                  <c:v>731.4</c:v>
                </c:pt>
                <c:pt idx="934">
                  <c:v>725.9</c:v>
                </c:pt>
                <c:pt idx="935">
                  <c:v>739.25</c:v>
                </c:pt>
                <c:pt idx="936">
                  <c:v>723.85</c:v>
                </c:pt>
                <c:pt idx="937">
                  <c:v>698.15</c:v>
                </c:pt>
                <c:pt idx="938">
                  <c:v>710.05</c:v>
                </c:pt>
                <c:pt idx="939">
                  <c:v>690.85</c:v>
                </c:pt>
                <c:pt idx="940">
                  <c:v>694.95</c:v>
                </c:pt>
                <c:pt idx="941">
                  <c:v>674.2</c:v>
                </c:pt>
                <c:pt idx="942">
                  <c:v>670.4</c:v>
                </c:pt>
                <c:pt idx="943">
                  <c:v>667.55</c:v>
                </c:pt>
                <c:pt idx="944">
                  <c:v>715</c:v>
                </c:pt>
                <c:pt idx="945">
                  <c:v>737.65</c:v>
                </c:pt>
                <c:pt idx="946">
                  <c:v>750.25</c:v>
                </c:pt>
                <c:pt idx="947">
                  <c:v>742.4</c:v>
                </c:pt>
                <c:pt idx="948">
                  <c:v>758.05</c:v>
                </c:pt>
                <c:pt idx="949">
                  <c:v>730.3</c:v>
                </c:pt>
                <c:pt idx="950">
                  <c:v>777.2</c:v>
                </c:pt>
                <c:pt idx="951">
                  <c:v>779.15</c:v>
                </c:pt>
                <c:pt idx="952">
                  <c:v>788.85</c:v>
                </c:pt>
                <c:pt idx="953">
                  <c:v>787.4</c:v>
                </c:pt>
                <c:pt idx="954">
                  <c:v>782.8</c:v>
                </c:pt>
                <c:pt idx="955">
                  <c:v>797.05</c:v>
                </c:pt>
                <c:pt idx="956">
                  <c:v>796.95</c:v>
                </c:pt>
                <c:pt idx="957">
                  <c:v>773.35</c:v>
                </c:pt>
                <c:pt idx="958">
                  <c:v>803.8</c:v>
                </c:pt>
                <c:pt idx="959">
                  <c:v>809.8</c:v>
                </c:pt>
                <c:pt idx="960">
                  <c:v>803.85</c:v>
                </c:pt>
                <c:pt idx="961">
                  <c:v>798.55</c:v>
                </c:pt>
                <c:pt idx="962">
                  <c:v>789.6</c:v>
                </c:pt>
                <c:pt idx="963">
                  <c:v>798.55</c:v>
                </c:pt>
                <c:pt idx="964">
                  <c:v>799.55</c:v>
                </c:pt>
                <c:pt idx="965">
                  <c:v>804.1</c:v>
                </c:pt>
                <c:pt idx="966">
                  <c:v>781.9</c:v>
                </c:pt>
                <c:pt idx="967">
                  <c:v>773.05</c:v>
                </c:pt>
                <c:pt idx="968">
                  <c:v>764.7</c:v>
                </c:pt>
                <c:pt idx="969">
                  <c:v>773.85</c:v>
                </c:pt>
                <c:pt idx="970">
                  <c:v>752.2</c:v>
                </c:pt>
                <c:pt idx="971">
                  <c:v>704.6</c:v>
                </c:pt>
                <c:pt idx="972">
                  <c:v>712.5</c:v>
                </c:pt>
                <c:pt idx="973">
                  <c:v>728.9</c:v>
                </c:pt>
                <c:pt idx="974">
                  <c:v>729.6</c:v>
                </c:pt>
                <c:pt idx="975">
                  <c:v>725.2</c:v>
                </c:pt>
                <c:pt idx="976">
                  <c:v>712.65</c:v>
                </c:pt>
                <c:pt idx="977">
                  <c:v>721.7</c:v>
                </c:pt>
                <c:pt idx="978">
                  <c:v>740.7</c:v>
                </c:pt>
                <c:pt idx="979">
                  <c:v>746.85</c:v>
                </c:pt>
                <c:pt idx="980">
                  <c:v>743.25</c:v>
                </c:pt>
                <c:pt idx="981">
                  <c:v>742.8</c:v>
                </c:pt>
                <c:pt idx="982">
                  <c:v>730.6</c:v>
                </c:pt>
                <c:pt idx="983">
                  <c:v>730.3</c:v>
                </c:pt>
                <c:pt idx="984">
                  <c:v>726.9</c:v>
                </c:pt>
                <c:pt idx="985">
                  <c:v>709.15</c:v>
                </c:pt>
                <c:pt idx="986">
                  <c:v>696.35</c:v>
                </c:pt>
                <c:pt idx="987">
                  <c:v>678.55</c:v>
                </c:pt>
                <c:pt idx="988">
                  <c:v>668.85</c:v>
                </c:pt>
                <c:pt idx="989">
                  <c:v>670.5</c:v>
                </c:pt>
                <c:pt idx="990">
                  <c:v>675.45</c:v>
                </c:pt>
                <c:pt idx="991">
                  <c:v>672.15</c:v>
                </c:pt>
                <c:pt idx="992">
                  <c:v>667.5</c:v>
                </c:pt>
                <c:pt idx="993">
                  <c:v>678.8</c:v>
                </c:pt>
                <c:pt idx="994">
                  <c:v>669.35</c:v>
                </c:pt>
                <c:pt idx="995">
                  <c:v>665.85</c:v>
                </c:pt>
                <c:pt idx="996">
                  <c:v>674.35</c:v>
                </c:pt>
                <c:pt idx="997">
                  <c:v>688.9</c:v>
                </c:pt>
                <c:pt idx="998">
                  <c:v>709.65</c:v>
                </c:pt>
                <c:pt idx="999">
                  <c:v>712.5</c:v>
                </c:pt>
                <c:pt idx="1000">
                  <c:v>710.9</c:v>
                </c:pt>
                <c:pt idx="1001">
                  <c:v>704</c:v>
                </c:pt>
                <c:pt idx="1002">
                  <c:v>688.05</c:v>
                </c:pt>
                <c:pt idx="1003">
                  <c:v>693.95</c:v>
                </c:pt>
                <c:pt idx="1004">
                  <c:v>697.1</c:v>
                </c:pt>
                <c:pt idx="1005">
                  <c:v>687</c:v>
                </c:pt>
                <c:pt idx="1006">
                  <c:v>663.1</c:v>
                </c:pt>
                <c:pt idx="1007">
                  <c:v>673</c:v>
                </c:pt>
                <c:pt idx="1008">
                  <c:v>676.1</c:v>
                </c:pt>
                <c:pt idx="1009">
                  <c:v>679.6</c:v>
                </c:pt>
                <c:pt idx="1010">
                  <c:v>655.65</c:v>
                </c:pt>
                <c:pt idx="1011">
                  <c:v>651.1</c:v>
                </c:pt>
                <c:pt idx="1012">
                  <c:v>661.75</c:v>
                </c:pt>
                <c:pt idx="1013">
                  <c:v>679.9</c:v>
                </c:pt>
                <c:pt idx="1014">
                  <c:v>685.15</c:v>
                </c:pt>
                <c:pt idx="1015">
                  <c:v>685.65</c:v>
                </c:pt>
                <c:pt idx="1016">
                  <c:v>686.4</c:v>
                </c:pt>
                <c:pt idx="1017">
                  <c:v>706.35</c:v>
                </c:pt>
                <c:pt idx="1018">
                  <c:v>712.35</c:v>
                </c:pt>
                <c:pt idx="1019">
                  <c:v>726.15</c:v>
                </c:pt>
                <c:pt idx="1020">
                  <c:v>733.25</c:v>
                </c:pt>
                <c:pt idx="1021">
                  <c:v>736.05</c:v>
                </c:pt>
                <c:pt idx="1022">
                  <c:v>738.05</c:v>
                </c:pt>
                <c:pt idx="1023">
                  <c:v>749.35</c:v>
                </c:pt>
                <c:pt idx="1024">
                  <c:v>745.05</c:v>
                </c:pt>
                <c:pt idx="1025">
                  <c:v>751.05</c:v>
                </c:pt>
                <c:pt idx="1026">
                  <c:v>752.95</c:v>
                </c:pt>
                <c:pt idx="1027">
                  <c:v>750.6</c:v>
                </c:pt>
                <c:pt idx="1028">
                  <c:v>755.85</c:v>
                </c:pt>
                <c:pt idx="1029">
                  <c:v>752.35</c:v>
                </c:pt>
                <c:pt idx="1030">
                  <c:v>742</c:v>
                </c:pt>
                <c:pt idx="1031">
                  <c:v>758.35</c:v>
                </c:pt>
                <c:pt idx="1032">
                  <c:v>787.5</c:v>
                </c:pt>
                <c:pt idx="1033">
                  <c:v>841.9</c:v>
                </c:pt>
                <c:pt idx="1034">
                  <c:v>845.1</c:v>
                </c:pt>
                <c:pt idx="1035">
                  <c:v>816.7</c:v>
                </c:pt>
                <c:pt idx="1036">
                  <c:v>807.8</c:v>
                </c:pt>
                <c:pt idx="1037">
                  <c:v>804.8</c:v>
                </c:pt>
                <c:pt idx="1038">
                  <c:v>801.65</c:v>
                </c:pt>
                <c:pt idx="1039">
                  <c:v>813.3</c:v>
                </c:pt>
                <c:pt idx="1040">
                  <c:v>802.05</c:v>
                </c:pt>
                <c:pt idx="1041">
                  <c:v>794.6</c:v>
                </c:pt>
                <c:pt idx="1042">
                  <c:v>797.15</c:v>
                </c:pt>
                <c:pt idx="1043">
                  <c:v>787.15</c:v>
                </c:pt>
                <c:pt idx="1044">
                  <c:v>781.95</c:v>
                </c:pt>
                <c:pt idx="1045">
                  <c:v>777.1</c:v>
                </c:pt>
                <c:pt idx="1046">
                  <c:v>778.95</c:v>
                </c:pt>
                <c:pt idx="1047">
                  <c:v>782.6</c:v>
                </c:pt>
                <c:pt idx="1048">
                  <c:v>779</c:v>
                </c:pt>
                <c:pt idx="1049">
                  <c:v>768.15</c:v>
                </c:pt>
                <c:pt idx="1050">
                  <c:v>766.55</c:v>
                </c:pt>
                <c:pt idx="1051">
                  <c:v>782.15</c:v>
                </c:pt>
                <c:pt idx="1052">
                  <c:v>789.2</c:v>
                </c:pt>
                <c:pt idx="1053">
                  <c:v>796.95</c:v>
                </c:pt>
                <c:pt idx="1054">
                  <c:v>798.05</c:v>
                </c:pt>
                <c:pt idx="1055">
                  <c:v>812.15</c:v>
                </c:pt>
                <c:pt idx="1056">
                  <c:v>788.35</c:v>
                </c:pt>
                <c:pt idx="1057">
                  <c:v>795.35</c:v>
                </c:pt>
                <c:pt idx="1058">
                  <c:v>795.85</c:v>
                </c:pt>
                <c:pt idx="1059">
                  <c:v>807.35</c:v>
                </c:pt>
                <c:pt idx="1060">
                  <c:v>802.6</c:v>
                </c:pt>
                <c:pt idx="1061">
                  <c:v>791.4</c:v>
                </c:pt>
                <c:pt idx="1062">
                  <c:v>794.4</c:v>
                </c:pt>
                <c:pt idx="1063">
                  <c:v>788.35</c:v>
                </c:pt>
                <c:pt idx="1064">
                  <c:v>790.15</c:v>
                </c:pt>
                <c:pt idx="1065">
                  <c:v>794.7</c:v>
                </c:pt>
                <c:pt idx="1066">
                  <c:v>787.85</c:v>
                </c:pt>
                <c:pt idx="1067">
                  <c:v>800.8</c:v>
                </c:pt>
                <c:pt idx="1068">
                  <c:v>798</c:v>
                </c:pt>
                <c:pt idx="1069">
                  <c:v>802.7</c:v>
                </c:pt>
                <c:pt idx="1070">
                  <c:v>798.9</c:v>
                </c:pt>
                <c:pt idx="1071">
                  <c:v>786.5</c:v>
                </c:pt>
                <c:pt idx="1072">
                  <c:v>784.05</c:v>
                </c:pt>
                <c:pt idx="1073">
                  <c:v>752.4</c:v>
                </c:pt>
                <c:pt idx="1074">
                  <c:v>746.35</c:v>
                </c:pt>
                <c:pt idx="1075">
                  <c:v>739.05</c:v>
                </c:pt>
                <c:pt idx="1076">
                  <c:v>746.35</c:v>
                </c:pt>
                <c:pt idx="1077">
                  <c:v>736.1</c:v>
                </c:pt>
                <c:pt idx="1078">
                  <c:v>740.25</c:v>
                </c:pt>
                <c:pt idx="1079">
                  <c:v>754.4</c:v>
                </c:pt>
                <c:pt idx="1080">
                  <c:v>756.75</c:v>
                </c:pt>
                <c:pt idx="1081">
                  <c:v>762</c:v>
                </c:pt>
                <c:pt idx="1082">
                  <c:v>759.9</c:v>
                </c:pt>
                <c:pt idx="1083">
                  <c:v>757.35</c:v>
                </c:pt>
                <c:pt idx="1084">
                  <c:v>760.8</c:v>
                </c:pt>
                <c:pt idx="1085">
                  <c:v>761.55</c:v>
                </c:pt>
                <c:pt idx="1086">
                  <c:v>755.5</c:v>
                </c:pt>
                <c:pt idx="1087">
                  <c:v>740.85</c:v>
                </c:pt>
                <c:pt idx="1088">
                  <c:v>749.3</c:v>
                </c:pt>
                <c:pt idx="1089">
                  <c:v>753.8</c:v>
                </c:pt>
                <c:pt idx="1090">
                  <c:v>738.6</c:v>
                </c:pt>
                <c:pt idx="1091">
                  <c:v>721.15</c:v>
                </c:pt>
                <c:pt idx="1092">
                  <c:v>708.9</c:v>
                </c:pt>
                <c:pt idx="1093">
                  <c:v>717.25</c:v>
                </c:pt>
                <c:pt idx="1094">
                  <c:v>722.9</c:v>
                </c:pt>
                <c:pt idx="1095">
                  <c:v>731.7</c:v>
                </c:pt>
                <c:pt idx="1096">
                  <c:v>756.3</c:v>
                </c:pt>
                <c:pt idx="1097">
                  <c:v>755.4</c:v>
                </c:pt>
                <c:pt idx="1098">
                  <c:v>746.75</c:v>
                </c:pt>
                <c:pt idx="1099">
                  <c:v>745.75</c:v>
                </c:pt>
                <c:pt idx="1100">
                  <c:v>755.2</c:v>
                </c:pt>
                <c:pt idx="1101">
                  <c:v>771.15</c:v>
                </c:pt>
                <c:pt idx="1102">
                  <c:v>774.15</c:v>
                </c:pt>
                <c:pt idx="1103">
                  <c:v>770.05</c:v>
                </c:pt>
                <c:pt idx="1104">
                  <c:v>770.75</c:v>
                </c:pt>
                <c:pt idx="1105">
                  <c:v>753.6</c:v>
                </c:pt>
                <c:pt idx="1106">
                  <c:v>747.35</c:v>
                </c:pt>
                <c:pt idx="1107">
                  <c:v>754.4</c:v>
                </c:pt>
                <c:pt idx="1108">
                  <c:v>762.9</c:v>
                </c:pt>
                <c:pt idx="1109">
                  <c:v>758.35</c:v>
                </c:pt>
                <c:pt idx="1110">
                  <c:v>760.35</c:v>
                </c:pt>
                <c:pt idx="1111">
                  <c:v>750.65</c:v>
                </c:pt>
                <c:pt idx="1112">
                  <c:v>746.45</c:v>
                </c:pt>
                <c:pt idx="1113">
                  <c:v>748.3</c:v>
                </c:pt>
                <c:pt idx="1114">
                  <c:v>751.95</c:v>
                </c:pt>
                <c:pt idx="1115">
                  <c:v>762.4</c:v>
                </c:pt>
                <c:pt idx="1116">
                  <c:v>761.35</c:v>
                </c:pt>
                <c:pt idx="1117">
                  <c:v>739.15</c:v>
                </c:pt>
                <c:pt idx="1118">
                  <c:v>732.35</c:v>
                </c:pt>
                <c:pt idx="1119">
                  <c:v>739.35</c:v>
                </c:pt>
                <c:pt idx="1120">
                  <c:v>739.55</c:v>
                </c:pt>
                <c:pt idx="1121">
                  <c:v>736.3</c:v>
                </c:pt>
                <c:pt idx="1122">
                  <c:v>738.6</c:v>
                </c:pt>
                <c:pt idx="1123">
                  <c:v>749.8</c:v>
                </c:pt>
                <c:pt idx="1124">
                  <c:v>750.9</c:v>
                </c:pt>
                <c:pt idx="1125">
                  <c:v>736.25</c:v>
                </c:pt>
                <c:pt idx="1126">
                  <c:v>738.45</c:v>
                </c:pt>
                <c:pt idx="1127">
                  <c:v>744.25</c:v>
                </c:pt>
                <c:pt idx="1128">
                  <c:v>736.75</c:v>
                </c:pt>
                <c:pt idx="1129">
                  <c:v>746.35</c:v>
                </c:pt>
                <c:pt idx="1130">
                  <c:v>751.1</c:v>
                </c:pt>
                <c:pt idx="1131">
                  <c:v>742.05</c:v>
                </c:pt>
                <c:pt idx="1132">
                  <c:v>750.65</c:v>
                </c:pt>
                <c:pt idx="1133">
                  <c:v>737</c:v>
                </c:pt>
                <c:pt idx="1134">
                  <c:v>745.15</c:v>
                </c:pt>
                <c:pt idx="1135">
                  <c:v>750.7</c:v>
                </c:pt>
                <c:pt idx="1136">
                  <c:v>739.85</c:v>
                </c:pt>
                <c:pt idx="1137">
                  <c:v>750.35</c:v>
                </c:pt>
                <c:pt idx="1138">
                  <c:v>735.1</c:v>
                </c:pt>
                <c:pt idx="1139">
                  <c:v>731.55</c:v>
                </c:pt>
                <c:pt idx="1140">
                  <c:v>741.15</c:v>
                </c:pt>
                <c:pt idx="1141">
                  <c:v>730.9</c:v>
                </c:pt>
                <c:pt idx="1142">
                  <c:v>705.9</c:v>
                </c:pt>
                <c:pt idx="1143">
                  <c:v>716.8</c:v>
                </c:pt>
                <c:pt idx="1144">
                  <c:v>711.65</c:v>
                </c:pt>
                <c:pt idx="1145">
                  <c:v>709.25</c:v>
                </c:pt>
                <c:pt idx="1146">
                  <c:v>685</c:v>
                </c:pt>
                <c:pt idx="1147">
                  <c:v>691.3</c:v>
                </c:pt>
                <c:pt idx="1148">
                  <c:v>707.35</c:v>
                </c:pt>
                <c:pt idx="1149">
                  <c:v>715.25</c:v>
                </c:pt>
                <c:pt idx="1150">
                  <c:v>716.75</c:v>
                </c:pt>
                <c:pt idx="1151">
                  <c:v>715.75</c:v>
                </c:pt>
                <c:pt idx="1152">
                  <c:v>717.2</c:v>
                </c:pt>
                <c:pt idx="1153">
                  <c:v>700.35</c:v>
                </c:pt>
                <c:pt idx="1154">
                  <c:v>702.75</c:v>
                </c:pt>
                <c:pt idx="1155">
                  <c:v>714.9</c:v>
                </c:pt>
                <c:pt idx="1156">
                  <c:v>719.4</c:v>
                </c:pt>
                <c:pt idx="1157">
                  <c:v>708.15</c:v>
                </c:pt>
                <c:pt idx="1158">
                  <c:v>699.55</c:v>
                </c:pt>
                <c:pt idx="1159">
                  <c:v>700.45</c:v>
                </c:pt>
                <c:pt idx="1160">
                  <c:v>671.35</c:v>
                </c:pt>
                <c:pt idx="1161">
                  <c:v>658.7</c:v>
                </c:pt>
                <c:pt idx="1162">
                  <c:v>651.75</c:v>
                </c:pt>
                <c:pt idx="1163">
                  <c:v>648.15</c:v>
                </c:pt>
                <c:pt idx="1164">
                  <c:v>669.2</c:v>
                </c:pt>
                <c:pt idx="1165">
                  <c:v>668.85</c:v>
                </c:pt>
                <c:pt idx="1166">
                  <c:v>661</c:v>
                </c:pt>
                <c:pt idx="1167">
                  <c:v>635.6</c:v>
                </c:pt>
                <c:pt idx="1168">
                  <c:v>668.2</c:v>
                </c:pt>
                <c:pt idx="1169">
                  <c:v>681.6</c:v>
                </c:pt>
                <c:pt idx="1170">
                  <c:v>688.25</c:v>
                </c:pt>
                <c:pt idx="1171">
                  <c:v>677.9</c:v>
                </c:pt>
                <c:pt idx="1172">
                  <c:v>685.25</c:v>
                </c:pt>
                <c:pt idx="1173">
                  <c:v>713</c:v>
                </c:pt>
                <c:pt idx="1174">
                  <c:v>697.45</c:v>
                </c:pt>
                <c:pt idx="1175">
                  <c:v>695.35</c:v>
                </c:pt>
                <c:pt idx="1176">
                  <c:v>698.2</c:v>
                </c:pt>
                <c:pt idx="1177">
                  <c:v>694.6</c:v>
                </c:pt>
                <c:pt idx="1178">
                  <c:v>706.4</c:v>
                </c:pt>
                <c:pt idx="1179">
                  <c:v>730.55</c:v>
                </c:pt>
                <c:pt idx="1180">
                  <c:v>716.2</c:v>
                </c:pt>
                <c:pt idx="1181">
                  <c:v>726.25</c:v>
                </c:pt>
                <c:pt idx="1182">
                  <c:v>718.75</c:v>
                </c:pt>
                <c:pt idx="1183">
                  <c:v>727.9</c:v>
                </c:pt>
                <c:pt idx="1184">
                  <c:v>737.75</c:v>
                </c:pt>
                <c:pt idx="1185">
                  <c:v>744.4</c:v>
                </c:pt>
                <c:pt idx="1186">
                  <c:v>750.6</c:v>
                </c:pt>
                <c:pt idx="1187">
                  <c:v>760.75</c:v>
                </c:pt>
                <c:pt idx="1188">
                  <c:v>745.45</c:v>
                </c:pt>
                <c:pt idx="1189">
                  <c:v>743.3</c:v>
                </c:pt>
                <c:pt idx="1190">
                  <c:v>730.75</c:v>
                </c:pt>
                <c:pt idx="1191">
                  <c:v>736.8</c:v>
                </c:pt>
                <c:pt idx="1192">
                  <c:v>753.95</c:v>
                </c:pt>
                <c:pt idx="1193">
                  <c:v>731.25</c:v>
                </c:pt>
                <c:pt idx="1194">
                  <c:v>728.55</c:v>
                </c:pt>
                <c:pt idx="1195">
                  <c:v>724.8</c:v>
                </c:pt>
                <c:pt idx="1196">
                  <c:v>770.65</c:v>
                </c:pt>
                <c:pt idx="1197">
                  <c:v>749.4</c:v>
                </c:pt>
                <c:pt idx="1198">
                  <c:v>715.95</c:v>
                </c:pt>
                <c:pt idx="1199">
                  <c:v>719.45</c:v>
                </c:pt>
                <c:pt idx="1200">
                  <c:v>749.65</c:v>
                </c:pt>
                <c:pt idx="1201">
                  <c:v>777</c:v>
                </c:pt>
                <c:pt idx="1202">
                  <c:v>777.75</c:v>
                </c:pt>
                <c:pt idx="1203">
                  <c:v>775.05</c:v>
                </c:pt>
                <c:pt idx="1204">
                  <c:v>794</c:v>
                </c:pt>
                <c:pt idx="1205">
                  <c:v>750.4</c:v>
                </c:pt>
                <c:pt idx="1206">
                  <c:v>740.1</c:v>
                </c:pt>
                <c:pt idx="1207">
                  <c:v>734.8</c:v>
                </c:pt>
                <c:pt idx="1208">
                  <c:v>742.5</c:v>
                </c:pt>
                <c:pt idx="1209">
                  <c:v>736.15</c:v>
                </c:pt>
                <c:pt idx="1210">
                  <c:v>719.6</c:v>
                </c:pt>
                <c:pt idx="1211">
                  <c:v>743.9</c:v>
                </c:pt>
                <c:pt idx="1212">
                  <c:v>733.8</c:v>
                </c:pt>
                <c:pt idx="1213">
                  <c:v>714.2</c:v>
                </c:pt>
                <c:pt idx="1214">
                  <c:v>709.35</c:v>
                </c:pt>
                <c:pt idx="1215">
                  <c:v>662.9</c:v>
                </c:pt>
                <c:pt idx="1216">
                  <c:v>670.7</c:v>
                </c:pt>
                <c:pt idx="1217">
                  <c:v>632.1</c:v>
                </c:pt>
                <c:pt idx="1218">
                  <c:v>658.4</c:v>
                </c:pt>
                <c:pt idx="1219">
                  <c:v>644.5</c:v>
                </c:pt>
                <c:pt idx="1220">
                  <c:v>675.85</c:v>
                </c:pt>
                <c:pt idx="1221">
                  <c:v>675.75</c:v>
                </c:pt>
                <c:pt idx="1222">
                  <c:v>668.75</c:v>
                </c:pt>
                <c:pt idx="1223">
                  <c:v>657</c:v>
                </c:pt>
                <c:pt idx="1224">
                  <c:v>674.85</c:v>
                </c:pt>
                <c:pt idx="1225">
                  <c:v>676</c:v>
                </c:pt>
                <c:pt idx="1226">
                  <c:v>687.8</c:v>
                </c:pt>
                <c:pt idx="1227">
                  <c:v>675.7</c:v>
                </c:pt>
                <c:pt idx="1228">
                  <c:v>666.95</c:v>
                </c:pt>
                <c:pt idx="1229">
                  <c:v>672.7</c:v>
                </c:pt>
                <c:pt idx="1230">
                  <c:v>671.1</c:v>
                </c:pt>
                <c:pt idx="1231">
                  <c:v>654.25</c:v>
                </c:pt>
                <c:pt idx="1232">
                  <c:v>664.45</c:v>
                </c:pt>
                <c:pt idx="1233">
                  <c:v>624.70000000000005</c:v>
                </c:pt>
                <c:pt idx="1234">
                  <c:v>623.79999999999995</c:v>
                </c:pt>
                <c:pt idx="1235">
                  <c:v>620.45000000000005</c:v>
                </c:pt>
                <c:pt idx="1236">
                  <c:v>625.1</c:v>
                </c:pt>
                <c:pt idx="1237">
                  <c:v>630.20000000000005</c:v>
                </c:pt>
                <c:pt idx="1238">
                  <c:v>617.65</c:v>
                </c:pt>
              </c:numCache>
            </c:numRef>
          </c:val>
          <c:smooth val="0"/>
          <c:extLst>
            <c:ext xmlns:c16="http://schemas.microsoft.com/office/drawing/2014/chart" uri="{C3380CC4-5D6E-409C-BE32-E72D297353CC}">
              <c16:uniqueId val="{00000000-F0C3-4E56-BCD7-3242E7A63744}"/>
            </c:ext>
          </c:extLst>
        </c:ser>
        <c:dLbls>
          <c:showLegendKey val="0"/>
          <c:showVal val="0"/>
          <c:showCatName val="0"/>
          <c:showSerName val="0"/>
          <c:showPercent val="0"/>
          <c:showBubbleSize val="0"/>
        </c:dLbls>
        <c:smooth val="0"/>
        <c:axId val="119593984"/>
        <c:axId val="119591584"/>
      </c:lineChart>
      <c:dateAx>
        <c:axId val="11959398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91584"/>
        <c:crosses val="autoZero"/>
        <c:auto val="1"/>
        <c:lblOffset val="100"/>
        <c:baseTimeUnit val="days"/>
      </c:dateAx>
      <c:valAx>
        <c:axId val="119591584"/>
        <c:scaling>
          <c:orientation val="minMax"/>
          <c:max val="1300"/>
          <c:min val="6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9398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SHEET'!$E$3</c:f>
              <c:strCache>
                <c:ptCount val="1"/>
                <c:pt idx="0">
                  <c:v>Volume</c:v>
                </c:pt>
              </c:strCache>
            </c:strRef>
          </c:tx>
          <c:spPr>
            <a:solidFill>
              <a:schemeClr val="bg1">
                <a:lumMod val="75000"/>
              </a:schemeClr>
            </a:solidFill>
            <a:ln w="9525" cap="flat" cmpd="sng" algn="ctr">
              <a:noFill/>
              <a:round/>
            </a:ln>
            <a:effectLst/>
          </c:spPr>
          <c:invertIfNegative val="0"/>
          <c:cat>
            <c:numRef>
              <c:f>'INPUT SHEET'!$D$4:$D$1242</c:f>
              <c:numCache>
                <c:formatCode>d\-mmm\-yy</c:formatCode>
                <c:ptCount val="1239"/>
                <c:pt idx="0">
                  <c:v>46014</c:v>
                </c:pt>
                <c:pt idx="1">
                  <c:v>46013</c:v>
                </c:pt>
                <c:pt idx="2">
                  <c:v>46010</c:v>
                </c:pt>
                <c:pt idx="3">
                  <c:v>46009</c:v>
                </c:pt>
                <c:pt idx="4">
                  <c:v>46008</c:v>
                </c:pt>
                <c:pt idx="5">
                  <c:v>46007</c:v>
                </c:pt>
                <c:pt idx="6">
                  <c:v>46006</c:v>
                </c:pt>
                <c:pt idx="7">
                  <c:v>46003</c:v>
                </c:pt>
                <c:pt idx="8">
                  <c:v>46002</c:v>
                </c:pt>
                <c:pt idx="9">
                  <c:v>46001</c:v>
                </c:pt>
                <c:pt idx="10">
                  <c:v>46000</c:v>
                </c:pt>
                <c:pt idx="11">
                  <c:v>45999</c:v>
                </c:pt>
                <c:pt idx="12">
                  <c:v>45996</c:v>
                </c:pt>
                <c:pt idx="13">
                  <c:v>45995</c:v>
                </c:pt>
                <c:pt idx="14">
                  <c:v>45994</c:v>
                </c:pt>
                <c:pt idx="15">
                  <c:v>45993</c:v>
                </c:pt>
                <c:pt idx="16">
                  <c:v>45992</c:v>
                </c:pt>
                <c:pt idx="17">
                  <c:v>45989</c:v>
                </c:pt>
                <c:pt idx="18">
                  <c:v>45988</c:v>
                </c:pt>
                <c:pt idx="19">
                  <c:v>45987</c:v>
                </c:pt>
                <c:pt idx="20">
                  <c:v>45986</c:v>
                </c:pt>
                <c:pt idx="21">
                  <c:v>45985</c:v>
                </c:pt>
                <c:pt idx="22">
                  <c:v>45982</c:v>
                </c:pt>
                <c:pt idx="23">
                  <c:v>45981</c:v>
                </c:pt>
                <c:pt idx="24">
                  <c:v>45980</c:v>
                </c:pt>
                <c:pt idx="25">
                  <c:v>45979</c:v>
                </c:pt>
                <c:pt idx="26">
                  <c:v>45978</c:v>
                </c:pt>
                <c:pt idx="27">
                  <c:v>45975</c:v>
                </c:pt>
                <c:pt idx="28">
                  <c:v>45974</c:v>
                </c:pt>
                <c:pt idx="29">
                  <c:v>45973</c:v>
                </c:pt>
                <c:pt idx="30">
                  <c:v>45972</c:v>
                </c:pt>
                <c:pt idx="31">
                  <c:v>45971</c:v>
                </c:pt>
                <c:pt idx="32">
                  <c:v>45968</c:v>
                </c:pt>
                <c:pt idx="33">
                  <c:v>45967</c:v>
                </c:pt>
                <c:pt idx="34">
                  <c:v>45965</c:v>
                </c:pt>
                <c:pt idx="35">
                  <c:v>45964</c:v>
                </c:pt>
                <c:pt idx="36">
                  <c:v>45961</c:v>
                </c:pt>
                <c:pt idx="37">
                  <c:v>45960</c:v>
                </c:pt>
                <c:pt idx="38">
                  <c:v>45959</c:v>
                </c:pt>
                <c:pt idx="39">
                  <c:v>45958</c:v>
                </c:pt>
                <c:pt idx="40">
                  <c:v>45957</c:v>
                </c:pt>
                <c:pt idx="41">
                  <c:v>45954</c:v>
                </c:pt>
                <c:pt idx="42">
                  <c:v>45953</c:v>
                </c:pt>
                <c:pt idx="43">
                  <c:v>45951</c:v>
                </c:pt>
                <c:pt idx="44">
                  <c:v>45950</c:v>
                </c:pt>
                <c:pt idx="45">
                  <c:v>45947</c:v>
                </c:pt>
                <c:pt idx="46">
                  <c:v>45946</c:v>
                </c:pt>
                <c:pt idx="47">
                  <c:v>45945</c:v>
                </c:pt>
                <c:pt idx="48">
                  <c:v>45944</c:v>
                </c:pt>
                <c:pt idx="49">
                  <c:v>45943</c:v>
                </c:pt>
                <c:pt idx="50">
                  <c:v>45940</c:v>
                </c:pt>
                <c:pt idx="51">
                  <c:v>45939</c:v>
                </c:pt>
                <c:pt idx="52">
                  <c:v>45938</c:v>
                </c:pt>
                <c:pt idx="53">
                  <c:v>45937</c:v>
                </c:pt>
                <c:pt idx="54">
                  <c:v>45936</c:v>
                </c:pt>
                <c:pt idx="55">
                  <c:v>45933</c:v>
                </c:pt>
                <c:pt idx="56">
                  <c:v>45931</c:v>
                </c:pt>
                <c:pt idx="57">
                  <c:v>45930</c:v>
                </c:pt>
                <c:pt idx="58">
                  <c:v>45929</c:v>
                </c:pt>
                <c:pt idx="59">
                  <c:v>45926</c:v>
                </c:pt>
                <c:pt idx="60">
                  <c:v>45925</c:v>
                </c:pt>
                <c:pt idx="61">
                  <c:v>45924</c:v>
                </c:pt>
                <c:pt idx="62">
                  <c:v>45923</c:v>
                </c:pt>
                <c:pt idx="63">
                  <c:v>45922</c:v>
                </c:pt>
                <c:pt idx="64">
                  <c:v>45919</c:v>
                </c:pt>
                <c:pt idx="65">
                  <c:v>45918</c:v>
                </c:pt>
                <c:pt idx="66">
                  <c:v>45917</c:v>
                </c:pt>
                <c:pt idx="67">
                  <c:v>45916</c:v>
                </c:pt>
                <c:pt idx="68">
                  <c:v>45915</c:v>
                </c:pt>
                <c:pt idx="69">
                  <c:v>45912</c:v>
                </c:pt>
                <c:pt idx="70">
                  <c:v>45911</c:v>
                </c:pt>
                <c:pt idx="71">
                  <c:v>45910</c:v>
                </c:pt>
                <c:pt idx="72">
                  <c:v>45909</c:v>
                </c:pt>
                <c:pt idx="73">
                  <c:v>45908</c:v>
                </c:pt>
                <c:pt idx="74">
                  <c:v>45905</c:v>
                </c:pt>
                <c:pt idx="75">
                  <c:v>45904</c:v>
                </c:pt>
                <c:pt idx="76">
                  <c:v>45903</c:v>
                </c:pt>
                <c:pt idx="77">
                  <c:v>45902</c:v>
                </c:pt>
                <c:pt idx="78">
                  <c:v>45901</c:v>
                </c:pt>
                <c:pt idx="79">
                  <c:v>45898</c:v>
                </c:pt>
                <c:pt idx="80">
                  <c:v>45897</c:v>
                </c:pt>
                <c:pt idx="81">
                  <c:v>45895</c:v>
                </c:pt>
                <c:pt idx="82">
                  <c:v>45894</c:v>
                </c:pt>
                <c:pt idx="83">
                  <c:v>45891</c:v>
                </c:pt>
                <c:pt idx="84">
                  <c:v>45890</c:v>
                </c:pt>
                <c:pt idx="85">
                  <c:v>45889</c:v>
                </c:pt>
                <c:pt idx="86">
                  <c:v>45888</c:v>
                </c:pt>
                <c:pt idx="87">
                  <c:v>45887</c:v>
                </c:pt>
                <c:pt idx="88">
                  <c:v>45883</c:v>
                </c:pt>
                <c:pt idx="89">
                  <c:v>45882</c:v>
                </c:pt>
                <c:pt idx="90">
                  <c:v>45881</c:v>
                </c:pt>
                <c:pt idx="91">
                  <c:v>45880</c:v>
                </c:pt>
                <c:pt idx="92">
                  <c:v>45877</c:v>
                </c:pt>
                <c:pt idx="93">
                  <c:v>45876</c:v>
                </c:pt>
                <c:pt idx="94">
                  <c:v>45875</c:v>
                </c:pt>
                <c:pt idx="95">
                  <c:v>45874</c:v>
                </c:pt>
                <c:pt idx="96">
                  <c:v>45873</c:v>
                </c:pt>
                <c:pt idx="97">
                  <c:v>45870</c:v>
                </c:pt>
                <c:pt idx="98">
                  <c:v>45869</c:v>
                </c:pt>
                <c:pt idx="99">
                  <c:v>45868</c:v>
                </c:pt>
                <c:pt idx="100">
                  <c:v>45867</c:v>
                </c:pt>
                <c:pt idx="101">
                  <c:v>45866</c:v>
                </c:pt>
                <c:pt idx="102">
                  <c:v>45863</c:v>
                </c:pt>
                <c:pt idx="103">
                  <c:v>45862</c:v>
                </c:pt>
                <c:pt idx="104">
                  <c:v>45861</c:v>
                </c:pt>
                <c:pt idx="105">
                  <c:v>45860</c:v>
                </c:pt>
                <c:pt idx="106">
                  <c:v>45859</c:v>
                </c:pt>
                <c:pt idx="107">
                  <c:v>45856</c:v>
                </c:pt>
                <c:pt idx="108">
                  <c:v>45855</c:v>
                </c:pt>
                <c:pt idx="109">
                  <c:v>45854</c:v>
                </c:pt>
                <c:pt idx="110">
                  <c:v>45853</c:v>
                </c:pt>
                <c:pt idx="111">
                  <c:v>45852</c:v>
                </c:pt>
                <c:pt idx="112">
                  <c:v>45849</c:v>
                </c:pt>
                <c:pt idx="113">
                  <c:v>45848</c:v>
                </c:pt>
                <c:pt idx="114">
                  <c:v>45847</c:v>
                </c:pt>
                <c:pt idx="115">
                  <c:v>45846</c:v>
                </c:pt>
                <c:pt idx="116">
                  <c:v>45845</c:v>
                </c:pt>
                <c:pt idx="117">
                  <c:v>45842</c:v>
                </c:pt>
                <c:pt idx="118">
                  <c:v>45841</c:v>
                </c:pt>
                <c:pt idx="119">
                  <c:v>45840</c:v>
                </c:pt>
                <c:pt idx="120">
                  <c:v>45839</c:v>
                </c:pt>
                <c:pt idx="121">
                  <c:v>45838</c:v>
                </c:pt>
                <c:pt idx="122">
                  <c:v>45835</c:v>
                </c:pt>
                <c:pt idx="123">
                  <c:v>45834</c:v>
                </c:pt>
                <c:pt idx="124">
                  <c:v>45833</c:v>
                </c:pt>
                <c:pt idx="125">
                  <c:v>45832</c:v>
                </c:pt>
                <c:pt idx="126">
                  <c:v>45831</c:v>
                </c:pt>
                <c:pt idx="127">
                  <c:v>45828</c:v>
                </c:pt>
                <c:pt idx="128">
                  <c:v>45827</c:v>
                </c:pt>
                <c:pt idx="129">
                  <c:v>45826</c:v>
                </c:pt>
                <c:pt idx="130">
                  <c:v>45825</c:v>
                </c:pt>
                <c:pt idx="131">
                  <c:v>45824</c:v>
                </c:pt>
                <c:pt idx="132">
                  <c:v>45821</c:v>
                </c:pt>
                <c:pt idx="133">
                  <c:v>45820</c:v>
                </c:pt>
                <c:pt idx="134">
                  <c:v>45819</c:v>
                </c:pt>
                <c:pt idx="135">
                  <c:v>45818</c:v>
                </c:pt>
                <c:pt idx="136">
                  <c:v>45817</c:v>
                </c:pt>
                <c:pt idx="137">
                  <c:v>45814</c:v>
                </c:pt>
                <c:pt idx="138">
                  <c:v>45813</c:v>
                </c:pt>
                <c:pt idx="139">
                  <c:v>45812</c:v>
                </c:pt>
                <c:pt idx="140">
                  <c:v>45811</c:v>
                </c:pt>
                <c:pt idx="141">
                  <c:v>45810</c:v>
                </c:pt>
                <c:pt idx="142">
                  <c:v>45807</c:v>
                </c:pt>
                <c:pt idx="143">
                  <c:v>45806</c:v>
                </c:pt>
                <c:pt idx="144">
                  <c:v>45805</c:v>
                </c:pt>
                <c:pt idx="145">
                  <c:v>45804</c:v>
                </c:pt>
                <c:pt idx="146">
                  <c:v>45803</c:v>
                </c:pt>
                <c:pt idx="147">
                  <c:v>45800</c:v>
                </c:pt>
                <c:pt idx="148">
                  <c:v>45799</c:v>
                </c:pt>
                <c:pt idx="149">
                  <c:v>45798</c:v>
                </c:pt>
                <c:pt idx="150">
                  <c:v>45797</c:v>
                </c:pt>
                <c:pt idx="151">
                  <c:v>45796</c:v>
                </c:pt>
                <c:pt idx="152">
                  <c:v>45793</c:v>
                </c:pt>
                <c:pt idx="153">
                  <c:v>45792</c:v>
                </c:pt>
                <c:pt idx="154">
                  <c:v>45791</c:v>
                </c:pt>
                <c:pt idx="155">
                  <c:v>45790</c:v>
                </c:pt>
                <c:pt idx="156">
                  <c:v>45789</c:v>
                </c:pt>
                <c:pt idx="157">
                  <c:v>45786</c:v>
                </c:pt>
                <c:pt idx="158">
                  <c:v>45785</c:v>
                </c:pt>
                <c:pt idx="159">
                  <c:v>45784</c:v>
                </c:pt>
                <c:pt idx="160">
                  <c:v>45783</c:v>
                </c:pt>
                <c:pt idx="161">
                  <c:v>45782</c:v>
                </c:pt>
                <c:pt idx="162">
                  <c:v>45779</c:v>
                </c:pt>
                <c:pt idx="163">
                  <c:v>45777</c:v>
                </c:pt>
                <c:pt idx="164">
                  <c:v>45776</c:v>
                </c:pt>
                <c:pt idx="165">
                  <c:v>45775</c:v>
                </c:pt>
                <c:pt idx="166">
                  <c:v>45772</c:v>
                </c:pt>
                <c:pt idx="167">
                  <c:v>45771</c:v>
                </c:pt>
                <c:pt idx="168">
                  <c:v>45770</c:v>
                </c:pt>
                <c:pt idx="169">
                  <c:v>45769</c:v>
                </c:pt>
                <c:pt idx="170">
                  <c:v>45768</c:v>
                </c:pt>
                <c:pt idx="171">
                  <c:v>45764</c:v>
                </c:pt>
                <c:pt idx="172">
                  <c:v>45763</c:v>
                </c:pt>
                <c:pt idx="173">
                  <c:v>45762</c:v>
                </c:pt>
                <c:pt idx="174">
                  <c:v>45758</c:v>
                </c:pt>
                <c:pt idx="175">
                  <c:v>45756</c:v>
                </c:pt>
                <c:pt idx="176">
                  <c:v>45755</c:v>
                </c:pt>
                <c:pt idx="177">
                  <c:v>45754</c:v>
                </c:pt>
                <c:pt idx="178">
                  <c:v>45751</c:v>
                </c:pt>
                <c:pt idx="179">
                  <c:v>45750</c:v>
                </c:pt>
                <c:pt idx="180">
                  <c:v>45749</c:v>
                </c:pt>
                <c:pt idx="181">
                  <c:v>45748</c:v>
                </c:pt>
                <c:pt idx="182">
                  <c:v>45744</c:v>
                </c:pt>
                <c:pt idx="183">
                  <c:v>45743</c:v>
                </c:pt>
                <c:pt idx="184">
                  <c:v>45742</c:v>
                </c:pt>
                <c:pt idx="185">
                  <c:v>45741</c:v>
                </c:pt>
                <c:pt idx="186">
                  <c:v>45740</c:v>
                </c:pt>
                <c:pt idx="187">
                  <c:v>45737</c:v>
                </c:pt>
                <c:pt idx="188">
                  <c:v>45736</c:v>
                </c:pt>
                <c:pt idx="189">
                  <c:v>45735</c:v>
                </c:pt>
                <c:pt idx="190">
                  <c:v>45734</c:v>
                </c:pt>
                <c:pt idx="191">
                  <c:v>45733</c:v>
                </c:pt>
                <c:pt idx="192">
                  <c:v>45729</c:v>
                </c:pt>
                <c:pt idx="193">
                  <c:v>45728</c:v>
                </c:pt>
                <c:pt idx="194">
                  <c:v>45727</c:v>
                </c:pt>
                <c:pt idx="195">
                  <c:v>45726</c:v>
                </c:pt>
                <c:pt idx="196">
                  <c:v>45723</c:v>
                </c:pt>
                <c:pt idx="197">
                  <c:v>45722</c:v>
                </c:pt>
                <c:pt idx="198">
                  <c:v>45721</c:v>
                </c:pt>
                <c:pt idx="199">
                  <c:v>45720</c:v>
                </c:pt>
                <c:pt idx="200">
                  <c:v>45719</c:v>
                </c:pt>
                <c:pt idx="201">
                  <c:v>45716</c:v>
                </c:pt>
                <c:pt idx="202">
                  <c:v>45715</c:v>
                </c:pt>
                <c:pt idx="203">
                  <c:v>45713</c:v>
                </c:pt>
                <c:pt idx="204">
                  <c:v>45712</c:v>
                </c:pt>
                <c:pt idx="205">
                  <c:v>45709</c:v>
                </c:pt>
                <c:pt idx="206">
                  <c:v>45708</c:v>
                </c:pt>
                <c:pt idx="207">
                  <c:v>45707</c:v>
                </c:pt>
                <c:pt idx="208">
                  <c:v>45706</c:v>
                </c:pt>
                <c:pt idx="209">
                  <c:v>45705</c:v>
                </c:pt>
                <c:pt idx="210">
                  <c:v>45702</c:v>
                </c:pt>
                <c:pt idx="211">
                  <c:v>45701</c:v>
                </c:pt>
                <c:pt idx="212">
                  <c:v>45700</c:v>
                </c:pt>
                <c:pt idx="213">
                  <c:v>45699</c:v>
                </c:pt>
                <c:pt idx="214">
                  <c:v>45698</c:v>
                </c:pt>
                <c:pt idx="215">
                  <c:v>45695</c:v>
                </c:pt>
                <c:pt idx="216">
                  <c:v>45694</c:v>
                </c:pt>
                <c:pt idx="217">
                  <c:v>45693</c:v>
                </c:pt>
                <c:pt idx="218">
                  <c:v>45692</c:v>
                </c:pt>
                <c:pt idx="219">
                  <c:v>45691</c:v>
                </c:pt>
                <c:pt idx="220">
                  <c:v>45689</c:v>
                </c:pt>
                <c:pt idx="221">
                  <c:v>45688</c:v>
                </c:pt>
                <c:pt idx="222">
                  <c:v>45687</c:v>
                </c:pt>
                <c:pt idx="223">
                  <c:v>45686</c:v>
                </c:pt>
                <c:pt idx="224">
                  <c:v>45685</c:v>
                </c:pt>
                <c:pt idx="225">
                  <c:v>45684</c:v>
                </c:pt>
                <c:pt idx="226">
                  <c:v>45681</c:v>
                </c:pt>
                <c:pt idx="227">
                  <c:v>45680</c:v>
                </c:pt>
                <c:pt idx="228">
                  <c:v>45679</c:v>
                </c:pt>
                <c:pt idx="229">
                  <c:v>45678</c:v>
                </c:pt>
                <c:pt idx="230">
                  <c:v>45677</c:v>
                </c:pt>
                <c:pt idx="231">
                  <c:v>45674</c:v>
                </c:pt>
                <c:pt idx="232">
                  <c:v>45673</c:v>
                </c:pt>
                <c:pt idx="233">
                  <c:v>45672</c:v>
                </c:pt>
                <c:pt idx="234">
                  <c:v>45671</c:v>
                </c:pt>
                <c:pt idx="235">
                  <c:v>45670</c:v>
                </c:pt>
                <c:pt idx="236">
                  <c:v>45667</c:v>
                </c:pt>
                <c:pt idx="237">
                  <c:v>45666</c:v>
                </c:pt>
                <c:pt idx="238">
                  <c:v>45665</c:v>
                </c:pt>
                <c:pt idx="239">
                  <c:v>45664</c:v>
                </c:pt>
                <c:pt idx="240">
                  <c:v>45663</c:v>
                </c:pt>
                <c:pt idx="241">
                  <c:v>45660</c:v>
                </c:pt>
                <c:pt idx="242">
                  <c:v>45659</c:v>
                </c:pt>
                <c:pt idx="243">
                  <c:v>45658</c:v>
                </c:pt>
                <c:pt idx="244">
                  <c:v>45657</c:v>
                </c:pt>
                <c:pt idx="245">
                  <c:v>45656</c:v>
                </c:pt>
                <c:pt idx="246">
                  <c:v>45653</c:v>
                </c:pt>
                <c:pt idx="247">
                  <c:v>45652</c:v>
                </c:pt>
                <c:pt idx="248">
                  <c:v>45650</c:v>
                </c:pt>
                <c:pt idx="249">
                  <c:v>45649</c:v>
                </c:pt>
                <c:pt idx="250">
                  <c:v>45646</c:v>
                </c:pt>
                <c:pt idx="251">
                  <c:v>45645</c:v>
                </c:pt>
                <c:pt idx="252">
                  <c:v>45644</c:v>
                </c:pt>
                <c:pt idx="253">
                  <c:v>45643</c:v>
                </c:pt>
                <c:pt idx="254">
                  <c:v>45642</c:v>
                </c:pt>
                <c:pt idx="255">
                  <c:v>45639</c:v>
                </c:pt>
                <c:pt idx="256">
                  <c:v>45638</c:v>
                </c:pt>
                <c:pt idx="257">
                  <c:v>45637</c:v>
                </c:pt>
                <c:pt idx="258">
                  <c:v>45636</c:v>
                </c:pt>
                <c:pt idx="259">
                  <c:v>45635</c:v>
                </c:pt>
                <c:pt idx="260">
                  <c:v>45632</c:v>
                </c:pt>
                <c:pt idx="261">
                  <c:v>45631</c:v>
                </c:pt>
                <c:pt idx="262">
                  <c:v>45630</c:v>
                </c:pt>
                <c:pt idx="263">
                  <c:v>45629</c:v>
                </c:pt>
                <c:pt idx="264">
                  <c:v>45628</c:v>
                </c:pt>
                <c:pt idx="265">
                  <c:v>45625</c:v>
                </c:pt>
                <c:pt idx="266">
                  <c:v>45624</c:v>
                </c:pt>
                <c:pt idx="267">
                  <c:v>45623</c:v>
                </c:pt>
                <c:pt idx="268">
                  <c:v>45622</c:v>
                </c:pt>
                <c:pt idx="269">
                  <c:v>45621</c:v>
                </c:pt>
                <c:pt idx="270">
                  <c:v>45618</c:v>
                </c:pt>
                <c:pt idx="271">
                  <c:v>45617</c:v>
                </c:pt>
                <c:pt idx="272">
                  <c:v>45615</c:v>
                </c:pt>
                <c:pt idx="273">
                  <c:v>45614</c:v>
                </c:pt>
                <c:pt idx="274">
                  <c:v>45610</c:v>
                </c:pt>
                <c:pt idx="275">
                  <c:v>45609</c:v>
                </c:pt>
                <c:pt idx="276">
                  <c:v>45608</c:v>
                </c:pt>
                <c:pt idx="277">
                  <c:v>45607</c:v>
                </c:pt>
                <c:pt idx="278">
                  <c:v>45604</c:v>
                </c:pt>
                <c:pt idx="279">
                  <c:v>45603</c:v>
                </c:pt>
                <c:pt idx="280">
                  <c:v>45602</c:v>
                </c:pt>
                <c:pt idx="281">
                  <c:v>45601</c:v>
                </c:pt>
                <c:pt idx="282">
                  <c:v>45600</c:v>
                </c:pt>
                <c:pt idx="283">
                  <c:v>45597</c:v>
                </c:pt>
                <c:pt idx="284">
                  <c:v>45596</c:v>
                </c:pt>
                <c:pt idx="285">
                  <c:v>45595</c:v>
                </c:pt>
                <c:pt idx="286">
                  <c:v>45594</c:v>
                </c:pt>
                <c:pt idx="287">
                  <c:v>45593</c:v>
                </c:pt>
                <c:pt idx="288">
                  <c:v>45590</c:v>
                </c:pt>
                <c:pt idx="289">
                  <c:v>45589</c:v>
                </c:pt>
                <c:pt idx="290">
                  <c:v>45588</c:v>
                </c:pt>
                <c:pt idx="291">
                  <c:v>45587</c:v>
                </c:pt>
                <c:pt idx="292">
                  <c:v>45586</c:v>
                </c:pt>
                <c:pt idx="293">
                  <c:v>45583</c:v>
                </c:pt>
                <c:pt idx="294">
                  <c:v>45582</c:v>
                </c:pt>
                <c:pt idx="295">
                  <c:v>45581</c:v>
                </c:pt>
                <c:pt idx="296">
                  <c:v>45580</c:v>
                </c:pt>
                <c:pt idx="297">
                  <c:v>45579</c:v>
                </c:pt>
                <c:pt idx="298">
                  <c:v>45576</c:v>
                </c:pt>
                <c:pt idx="299">
                  <c:v>45575</c:v>
                </c:pt>
                <c:pt idx="300">
                  <c:v>45574</c:v>
                </c:pt>
                <c:pt idx="301">
                  <c:v>45573</c:v>
                </c:pt>
                <c:pt idx="302">
                  <c:v>45572</c:v>
                </c:pt>
                <c:pt idx="303">
                  <c:v>45569</c:v>
                </c:pt>
                <c:pt idx="304">
                  <c:v>45568</c:v>
                </c:pt>
                <c:pt idx="305">
                  <c:v>45566</c:v>
                </c:pt>
                <c:pt idx="306">
                  <c:v>45565</c:v>
                </c:pt>
                <c:pt idx="307">
                  <c:v>45562</c:v>
                </c:pt>
                <c:pt idx="308">
                  <c:v>45561</c:v>
                </c:pt>
                <c:pt idx="309">
                  <c:v>45560</c:v>
                </c:pt>
                <c:pt idx="310">
                  <c:v>45559</c:v>
                </c:pt>
                <c:pt idx="311">
                  <c:v>45558</c:v>
                </c:pt>
                <c:pt idx="312">
                  <c:v>45555</c:v>
                </c:pt>
                <c:pt idx="313">
                  <c:v>45554</c:v>
                </c:pt>
                <c:pt idx="314">
                  <c:v>45553</c:v>
                </c:pt>
                <c:pt idx="315">
                  <c:v>45552</c:v>
                </c:pt>
                <c:pt idx="316">
                  <c:v>45551</c:v>
                </c:pt>
                <c:pt idx="317">
                  <c:v>45548</c:v>
                </c:pt>
                <c:pt idx="318">
                  <c:v>45547</c:v>
                </c:pt>
                <c:pt idx="319">
                  <c:v>45546</c:v>
                </c:pt>
                <c:pt idx="320">
                  <c:v>45545</c:v>
                </c:pt>
                <c:pt idx="321">
                  <c:v>45544</c:v>
                </c:pt>
                <c:pt idx="322">
                  <c:v>45541</c:v>
                </c:pt>
                <c:pt idx="323">
                  <c:v>45540</c:v>
                </c:pt>
                <c:pt idx="324">
                  <c:v>45539</c:v>
                </c:pt>
                <c:pt idx="325">
                  <c:v>45538</c:v>
                </c:pt>
                <c:pt idx="326">
                  <c:v>45537</c:v>
                </c:pt>
                <c:pt idx="327">
                  <c:v>45534</c:v>
                </c:pt>
                <c:pt idx="328">
                  <c:v>45533</c:v>
                </c:pt>
                <c:pt idx="329">
                  <c:v>45532</c:v>
                </c:pt>
                <c:pt idx="330">
                  <c:v>45531</c:v>
                </c:pt>
                <c:pt idx="331">
                  <c:v>45530</c:v>
                </c:pt>
                <c:pt idx="332">
                  <c:v>45527</c:v>
                </c:pt>
                <c:pt idx="333">
                  <c:v>45526</c:v>
                </c:pt>
                <c:pt idx="334">
                  <c:v>45525</c:v>
                </c:pt>
                <c:pt idx="335">
                  <c:v>45524</c:v>
                </c:pt>
                <c:pt idx="336">
                  <c:v>45523</c:v>
                </c:pt>
                <c:pt idx="337">
                  <c:v>45520</c:v>
                </c:pt>
                <c:pt idx="338">
                  <c:v>45518</c:v>
                </c:pt>
                <c:pt idx="339">
                  <c:v>45517</c:v>
                </c:pt>
                <c:pt idx="340">
                  <c:v>45516</c:v>
                </c:pt>
                <c:pt idx="341">
                  <c:v>45513</c:v>
                </c:pt>
                <c:pt idx="342">
                  <c:v>45512</c:v>
                </c:pt>
                <c:pt idx="343">
                  <c:v>45511</c:v>
                </c:pt>
                <c:pt idx="344">
                  <c:v>45510</c:v>
                </c:pt>
                <c:pt idx="345">
                  <c:v>45509</c:v>
                </c:pt>
                <c:pt idx="346">
                  <c:v>45506</c:v>
                </c:pt>
                <c:pt idx="347">
                  <c:v>45505</c:v>
                </c:pt>
                <c:pt idx="348">
                  <c:v>45504</c:v>
                </c:pt>
                <c:pt idx="349">
                  <c:v>45503</c:v>
                </c:pt>
                <c:pt idx="350">
                  <c:v>45502</c:v>
                </c:pt>
                <c:pt idx="351">
                  <c:v>45499</c:v>
                </c:pt>
                <c:pt idx="352">
                  <c:v>45498</c:v>
                </c:pt>
                <c:pt idx="353">
                  <c:v>45497</c:v>
                </c:pt>
                <c:pt idx="354">
                  <c:v>45496</c:v>
                </c:pt>
                <c:pt idx="355">
                  <c:v>45495</c:v>
                </c:pt>
                <c:pt idx="356">
                  <c:v>45492</c:v>
                </c:pt>
                <c:pt idx="357">
                  <c:v>45491</c:v>
                </c:pt>
                <c:pt idx="358">
                  <c:v>45489</c:v>
                </c:pt>
                <c:pt idx="359">
                  <c:v>45488</c:v>
                </c:pt>
                <c:pt idx="360">
                  <c:v>45485</c:v>
                </c:pt>
                <c:pt idx="361">
                  <c:v>45484</c:v>
                </c:pt>
                <c:pt idx="362">
                  <c:v>45483</c:v>
                </c:pt>
                <c:pt idx="363">
                  <c:v>45482</c:v>
                </c:pt>
                <c:pt idx="364">
                  <c:v>45481</c:v>
                </c:pt>
                <c:pt idx="365">
                  <c:v>45478</c:v>
                </c:pt>
                <c:pt idx="366">
                  <c:v>45477</c:v>
                </c:pt>
                <c:pt idx="367">
                  <c:v>45476</c:v>
                </c:pt>
                <c:pt idx="368">
                  <c:v>45475</c:v>
                </c:pt>
                <c:pt idx="369">
                  <c:v>45474</c:v>
                </c:pt>
                <c:pt idx="370">
                  <c:v>45471</c:v>
                </c:pt>
                <c:pt idx="371">
                  <c:v>45470</c:v>
                </c:pt>
                <c:pt idx="372">
                  <c:v>45469</c:v>
                </c:pt>
                <c:pt idx="373">
                  <c:v>45468</c:v>
                </c:pt>
                <c:pt idx="374">
                  <c:v>45467</c:v>
                </c:pt>
                <c:pt idx="375">
                  <c:v>45464</c:v>
                </c:pt>
                <c:pt idx="376">
                  <c:v>45463</c:v>
                </c:pt>
                <c:pt idx="377">
                  <c:v>45462</c:v>
                </c:pt>
                <c:pt idx="378">
                  <c:v>45461</c:v>
                </c:pt>
                <c:pt idx="379">
                  <c:v>45457</c:v>
                </c:pt>
                <c:pt idx="380">
                  <c:v>45456</c:v>
                </c:pt>
                <c:pt idx="381">
                  <c:v>45455</c:v>
                </c:pt>
                <c:pt idx="382">
                  <c:v>45454</c:v>
                </c:pt>
                <c:pt idx="383">
                  <c:v>45453</c:v>
                </c:pt>
                <c:pt idx="384">
                  <c:v>45450</c:v>
                </c:pt>
                <c:pt idx="385">
                  <c:v>45449</c:v>
                </c:pt>
                <c:pt idx="386">
                  <c:v>45448</c:v>
                </c:pt>
                <c:pt idx="387">
                  <c:v>45447</c:v>
                </c:pt>
                <c:pt idx="388">
                  <c:v>45446</c:v>
                </c:pt>
                <c:pt idx="389">
                  <c:v>45443</c:v>
                </c:pt>
                <c:pt idx="390">
                  <c:v>45442</c:v>
                </c:pt>
                <c:pt idx="391">
                  <c:v>45441</c:v>
                </c:pt>
                <c:pt idx="392">
                  <c:v>45440</c:v>
                </c:pt>
                <c:pt idx="393">
                  <c:v>45439</c:v>
                </c:pt>
                <c:pt idx="394">
                  <c:v>45436</c:v>
                </c:pt>
                <c:pt idx="395">
                  <c:v>45435</c:v>
                </c:pt>
                <c:pt idx="396">
                  <c:v>45434</c:v>
                </c:pt>
                <c:pt idx="397">
                  <c:v>45433</c:v>
                </c:pt>
                <c:pt idx="398">
                  <c:v>45430</c:v>
                </c:pt>
                <c:pt idx="399">
                  <c:v>45429</c:v>
                </c:pt>
                <c:pt idx="400">
                  <c:v>45428</c:v>
                </c:pt>
                <c:pt idx="401">
                  <c:v>45427</c:v>
                </c:pt>
                <c:pt idx="402">
                  <c:v>45426</c:v>
                </c:pt>
                <c:pt idx="403">
                  <c:v>45425</c:v>
                </c:pt>
                <c:pt idx="404">
                  <c:v>45422</c:v>
                </c:pt>
                <c:pt idx="405">
                  <c:v>45421</c:v>
                </c:pt>
                <c:pt idx="406">
                  <c:v>45420</c:v>
                </c:pt>
                <c:pt idx="407">
                  <c:v>45419</c:v>
                </c:pt>
                <c:pt idx="408">
                  <c:v>45418</c:v>
                </c:pt>
                <c:pt idx="409">
                  <c:v>45415</c:v>
                </c:pt>
                <c:pt idx="410">
                  <c:v>45414</c:v>
                </c:pt>
                <c:pt idx="411">
                  <c:v>45412</c:v>
                </c:pt>
                <c:pt idx="412">
                  <c:v>45411</c:v>
                </c:pt>
                <c:pt idx="413">
                  <c:v>45408</c:v>
                </c:pt>
                <c:pt idx="414">
                  <c:v>45407</c:v>
                </c:pt>
                <c:pt idx="415">
                  <c:v>45406</c:v>
                </c:pt>
                <c:pt idx="416">
                  <c:v>45405</c:v>
                </c:pt>
                <c:pt idx="417">
                  <c:v>45404</c:v>
                </c:pt>
                <c:pt idx="418">
                  <c:v>45401</c:v>
                </c:pt>
                <c:pt idx="419">
                  <c:v>45400</c:v>
                </c:pt>
                <c:pt idx="420">
                  <c:v>45398</c:v>
                </c:pt>
                <c:pt idx="421">
                  <c:v>45397</c:v>
                </c:pt>
                <c:pt idx="422">
                  <c:v>45394</c:v>
                </c:pt>
                <c:pt idx="423">
                  <c:v>45392</c:v>
                </c:pt>
                <c:pt idx="424">
                  <c:v>45391</c:v>
                </c:pt>
                <c:pt idx="425">
                  <c:v>45390</c:v>
                </c:pt>
                <c:pt idx="426">
                  <c:v>45387</c:v>
                </c:pt>
                <c:pt idx="427">
                  <c:v>45386</c:v>
                </c:pt>
                <c:pt idx="428">
                  <c:v>45385</c:v>
                </c:pt>
                <c:pt idx="429">
                  <c:v>45384</c:v>
                </c:pt>
                <c:pt idx="430">
                  <c:v>45383</c:v>
                </c:pt>
                <c:pt idx="431">
                  <c:v>45379</c:v>
                </c:pt>
                <c:pt idx="432">
                  <c:v>45378</c:v>
                </c:pt>
                <c:pt idx="433">
                  <c:v>45377</c:v>
                </c:pt>
                <c:pt idx="434">
                  <c:v>45373</c:v>
                </c:pt>
                <c:pt idx="435">
                  <c:v>45372</c:v>
                </c:pt>
                <c:pt idx="436">
                  <c:v>45371</c:v>
                </c:pt>
                <c:pt idx="437">
                  <c:v>45370</c:v>
                </c:pt>
                <c:pt idx="438">
                  <c:v>45369</c:v>
                </c:pt>
                <c:pt idx="439">
                  <c:v>45366</c:v>
                </c:pt>
                <c:pt idx="440">
                  <c:v>45365</c:v>
                </c:pt>
                <c:pt idx="441">
                  <c:v>45364</c:v>
                </c:pt>
                <c:pt idx="442">
                  <c:v>45363</c:v>
                </c:pt>
                <c:pt idx="443">
                  <c:v>45362</c:v>
                </c:pt>
                <c:pt idx="444">
                  <c:v>45358</c:v>
                </c:pt>
                <c:pt idx="445">
                  <c:v>45357</c:v>
                </c:pt>
                <c:pt idx="446">
                  <c:v>45356</c:v>
                </c:pt>
                <c:pt idx="447">
                  <c:v>45355</c:v>
                </c:pt>
                <c:pt idx="448">
                  <c:v>45353</c:v>
                </c:pt>
                <c:pt idx="449">
                  <c:v>45352</c:v>
                </c:pt>
                <c:pt idx="450">
                  <c:v>45351</c:v>
                </c:pt>
                <c:pt idx="451">
                  <c:v>45350</c:v>
                </c:pt>
                <c:pt idx="452">
                  <c:v>45349</c:v>
                </c:pt>
                <c:pt idx="453">
                  <c:v>45348</c:v>
                </c:pt>
                <c:pt idx="454">
                  <c:v>45345</c:v>
                </c:pt>
                <c:pt idx="455">
                  <c:v>45344</c:v>
                </c:pt>
                <c:pt idx="456">
                  <c:v>45343</c:v>
                </c:pt>
                <c:pt idx="457">
                  <c:v>45342</c:v>
                </c:pt>
                <c:pt idx="458">
                  <c:v>45341</c:v>
                </c:pt>
                <c:pt idx="459">
                  <c:v>45338</c:v>
                </c:pt>
                <c:pt idx="460">
                  <c:v>45337</c:v>
                </c:pt>
                <c:pt idx="461">
                  <c:v>45336</c:v>
                </c:pt>
                <c:pt idx="462">
                  <c:v>45335</c:v>
                </c:pt>
                <c:pt idx="463">
                  <c:v>45334</c:v>
                </c:pt>
                <c:pt idx="464">
                  <c:v>45331</c:v>
                </c:pt>
                <c:pt idx="465">
                  <c:v>45330</c:v>
                </c:pt>
                <c:pt idx="466">
                  <c:v>45329</c:v>
                </c:pt>
                <c:pt idx="467">
                  <c:v>45328</c:v>
                </c:pt>
                <c:pt idx="468">
                  <c:v>45327</c:v>
                </c:pt>
                <c:pt idx="469">
                  <c:v>45324</c:v>
                </c:pt>
                <c:pt idx="470">
                  <c:v>45323</c:v>
                </c:pt>
                <c:pt idx="471">
                  <c:v>45322</c:v>
                </c:pt>
                <c:pt idx="472">
                  <c:v>45321</c:v>
                </c:pt>
                <c:pt idx="473">
                  <c:v>45320</c:v>
                </c:pt>
                <c:pt idx="474">
                  <c:v>45316</c:v>
                </c:pt>
                <c:pt idx="475">
                  <c:v>45315</c:v>
                </c:pt>
                <c:pt idx="476">
                  <c:v>45314</c:v>
                </c:pt>
                <c:pt idx="477">
                  <c:v>45311</c:v>
                </c:pt>
                <c:pt idx="478">
                  <c:v>45310</c:v>
                </c:pt>
                <c:pt idx="479">
                  <c:v>45309</c:v>
                </c:pt>
                <c:pt idx="480">
                  <c:v>45308</c:v>
                </c:pt>
                <c:pt idx="481">
                  <c:v>45307</c:v>
                </c:pt>
                <c:pt idx="482">
                  <c:v>45306</c:v>
                </c:pt>
                <c:pt idx="483">
                  <c:v>45303</c:v>
                </c:pt>
                <c:pt idx="484">
                  <c:v>45302</c:v>
                </c:pt>
                <c:pt idx="485">
                  <c:v>45301</c:v>
                </c:pt>
                <c:pt idx="486">
                  <c:v>45300</c:v>
                </c:pt>
                <c:pt idx="487">
                  <c:v>45299</c:v>
                </c:pt>
                <c:pt idx="488">
                  <c:v>45296</c:v>
                </c:pt>
                <c:pt idx="489">
                  <c:v>45295</c:v>
                </c:pt>
                <c:pt idx="490">
                  <c:v>45294</c:v>
                </c:pt>
                <c:pt idx="491">
                  <c:v>45293</c:v>
                </c:pt>
                <c:pt idx="492">
                  <c:v>45292</c:v>
                </c:pt>
                <c:pt idx="493">
                  <c:v>45289</c:v>
                </c:pt>
                <c:pt idx="494">
                  <c:v>45288</c:v>
                </c:pt>
                <c:pt idx="495">
                  <c:v>45287</c:v>
                </c:pt>
                <c:pt idx="496">
                  <c:v>45286</c:v>
                </c:pt>
                <c:pt idx="497">
                  <c:v>45282</c:v>
                </c:pt>
                <c:pt idx="498">
                  <c:v>45281</c:v>
                </c:pt>
                <c:pt idx="499">
                  <c:v>45280</c:v>
                </c:pt>
                <c:pt idx="500">
                  <c:v>45279</c:v>
                </c:pt>
                <c:pt idx="501">
                  <c:v>45278</c:v>
                </c:pt>
                <c:pt idx="502">
                  <c:v>45275</c:v>
                </c:pt>
                <c:pt idx="503">
                  <c:v>45274</c:v>
                </c:pt>
                <c:pt idx="504">
                  <c:v>45273</c:v>
                </c:pt>
                <c:pt idx="505">
                  <c:v>45272</c:v>
                </c:pt>
                <c:pt idx="506">
                  <c:v>45271</c:v>
                </c:pt>
                <c:pt idx="507">
                  <c:v>45268</c:v>
                </c:pt>
                <c:pt idx="508">
                  <c:v>45267</c:v>
                </c:pt>
                <c:pt idx="509">
                  <c:v>45266</c:v>
                </c:pt>
                <c:pt idx="510">
                  <c:v>45265</c:v>
                </c:pt>
                <c:pt idx="511">
                  <c:v>45264</c:v>
                </c:pt>
                <c:pt idx="512">
                  <c:v>45261</c:v>
                </c:pt>
                <c:pt idx="513">
                  <c:v>45260</c:v>
                </c:pt>
                <c:pt idx="514">
                  <c:v>45259</c:v>
                </c:pt>
                <c:pt idx="515">
                  <c:v>45258</c:v>
                </c:pt>
                <c:pt idx="516">
                  <c:v>45254</c:v>
                </c:pt>
                <c:pt idx="517">
                  <c:v>45253</c:v>
                </c:pt>
                <c:pt idx="518">
                  <c:v>45252</c:v>
                </c:pt>
                <c:pt idx="519">
                  <c:v>45251</c:v>
                </c:pt>
                <c:pt idx="520">
                  <c:v>45250</c:v>
                </c:pt>
                <c:pt idx="521">
                  <c:v>45247</c:v>
                </c:pt>
                <c:pt idx="522">
                  <c:v>45246</c:v>
                </c:pt>
                <c:pt idx="523">
                  <c:v>45245</c:v>
                </c:pt>
                <c:pt idx="524">
                  <c:v>45243</c:v>
                </c:pt>
                <c:pt idx="525">
                  <c:v>45242</c:v>
                </c:pt>
                <c:pt idx="526">
                  <c:v>45240</c:v>
                </c:pt>
                <c:pt idx="527">
                  <c:v>45239</c:v>
                </c:pt>
                <c:pt idx="528">
                  <c:v>45238</c:v>
                </c:pt>
                <c:pt idx="529">
                  <c:v>45237</c:v>
                </c:pt>
                <c:pt idx="530">
                  <c:v>45236</c:v>
                </c:pt>
                <c:pt idx="531">
                  <c:v>45233</c:v>
                </c:pt>
                <c:pt idx="532">
                  <c:v>45232</c:v>
                </c:pt>
                <c:pt idx="533">
                  <c:v>45231</c:v>
                </c:pt>
                <c:pt idx="534">
                  <c:v>45230</c:v>
                </c:pt>
                <c:pt idx="535">
                  <c:v>45229</c:v>
                </c:pt>
                <c:pt idx="536">
                  <c:v>45226</c:v>
                </c:pt>
                <c:pt idx="537">
                  <c:v>45225</c:v>
                </c:pt>
                <c:pt idx="538">
                  <c:v>45224</c:v>
                </c:pt>
                <c:pt idx="539">
                  <c:v>45222</c:v>
                </c:pt>
                <c:pt idx="540">
                  <c:v>45219</c:v>
                </c:pt>
                <c:pt idx="541">
                  <c:v>45218</c:v>
                </c:pt>
                <c:pt idx="542">
                  <c:v>45217</c:v>
                </c:pt>
                <c:pt idx="543">
                  <c:v>45216</c:v>
                </c:pt>
                <c:pt idx="544">
                  <c:v>45215</c:v>
                </c:pt>
                <c:pt idx="545">
                  <c:v>45212</c:v>
                </c:pt>
                <c:pt idx="546">
                  <c:v>45211</c:v>
                </c:pt>
                <c:pt idx="547">
                  <c:v>45210</c:v>
                </c:pt>
                <c:pt idx="548">
                  <c:v>45209</c:v>
                </c:pt>
                <c:pt idx="549">
                  <c:v>45208</c:v>
                </c:pt>
                <c:pt idx="550">
                  <c:v>45205</c:v>
                </c:pt>
                <c:pt idx="551">
                  <c:v>45204</c:v>
                </c:pt>
                <c:pt idx="552">
                  <c:v>45203</c:v>
                </c:pt>
                <c:pt idx="553">
                  <c:v>45202</c:v>
                </c:pt>
                <c:pt idx="554">
                  <c:v>45198</c:v>
                </c:pt>
                <c:pt idx="555">
                  <c:v>45197</c:v>
                </c:pt>
                <c:pt idx="556">
                  <c:v>45196</c:v>
                </c:pt>
                <c:pt idx="557">
                  <c:v>45195</c:v>
                </c:pt>
                <c:pt idx="558">
                  <c:v>45194</c:v>
                </c:pt>
                <c:pt idx="559">
                  <c:v>45191</c:v>
                </c:pt>
                <c:pt idx="560">
                  <c:v>45190</c:v>
                </c:pt>
                <c:pt idx="561">
                  <c:v>45189</c:v>
                </c:pt>
                <c:pt idx="562">
                  <c:v>45187</c:v>
                </c:pt>
                <c:pt idx="563">
                  <c:v>45184</c:v>
                </c:pt>
                <c:pt idx="564">
                  <c:v>45183</c:v>
                </c:pt>
                <c:pt idx="565">
                  <c:v>45182</c:v>
                </c:pt>
                <c:pt idx="566">
                  <c:v>45181</c:v>
                </c:pt>
                <c:pt idx="567">
                  <c:v>45180</c:v>
                </c:pt>
                <c:pt idx="568">
                  <c:v>45177</c:v>
                </c:pt>
                <c:pt idx="569">
                  <c:v>45176</c:v>
                </c:pt>
                <c:pt idx="570">
                  <c:v>45175</c:v>
                </c:pt>
                <c:pt idx="571">
                  <c:v>45174</c:v>
                </c:pt>
                <c:pt idx="572">
                  <c:v>45173</c:v>
                </c:pt>
                <c:pt idx="573">
                  <c:v>45170</c:v>
                </c:pt>
                <c:pt idx="574">
                  <c:v>45169</c:v>
                </c:pt>
                <c:pt idx="575">
                  <c:v>45168</c:v>
                </c:pt>
                <c:pt idx="576">
                  <c:v>45167</c:v>
                </c:pt>
                <c:pt idx="577">
                  <c:v>45166</c:v>
                </c:pt>
                <c:pt idx="578">
                  <c:v>45163</c:v>
                </c:pt>
                <c:pt idx="579">
                  <c:v>45162</c:v>
                </c:pt>
                <c:pt idx="580">
                  <c:v>45161</c:v>
                </c:pt>
                <c:pt idx="581">
                  <c:v>45160</c:v>
                </c:pt>
                <c:pt idx="582">
                  <c:v>45159</c:v>
                </c:pt>
                <c:pt idx="583">
                  <c:v>45156</c:v>
                </c:pt>
                <c:pt idx="584">
                  <c:v>45155</c:v>
                </c:pt>
                <c:pt idx="585">
                  <c:v>45154</c:v>
                </c:pt>
                <c:pt idx="586">
                  <c:v>45152</c:v>
                </c:pt>
                <c:pt idx="587">
                  <c:v>45149</c:v>
                </c:pt>
                <c:pt idx="588">
                  <c:v>45148</c:v>
                </c:pt>
                <c:pt idx="589">
                  <c:v>45147</c:v>
                </c:pt>
                <c:pt idx="590">
                  <c:v>45146</c:v>
                </c:pt>
                <c:pt idx="591">
                  <c:v>45145</c:v>
                </c:pt>
                <c:pt idx="592">
                  <c:v>45142</c:v>
                </c:pt>
                <c:pt idx="593">
                  <c:v>45141</c:v>
                </c:pt>
                <c:pt idx="594">
                  <c:v>45140</c:v>
                </c:pt>
                <c:pt idx="595">
                  <c:v>45139</c:v>
                </c:pt>
                <c:pt idx="596">
                  <c:v>45138</c:v>
                </c:pt>
                <c:pt idx="597">
                  <c:v>45135</c:v>
                </c:pt>
                <c:pt idx="598">
                  <c:v>45134</c:v>
                </c:pt>
                <c:pt idx="599">
                  <c:v>45133</c:v>
                </c:pt>
                <c:pt idx="600">
                  <c:v>45132</c:v>
                </c:pt>
                <c:pt idx="601">
                  <c:v>45131</c:v>
                </c:pt>
                <c:pt idx="602">
                  <c:v>45128</c:v>
                </c:pt>
                <c:pt idx="603">
                  <c:v>45127</c:v>
                </c:pt>
                <c:pt idx="604">
                  <c:v>45126</c:v>
                </c:pt>
                <c:pt idx="605">
                  <c:v>45125</c:v>
                </c:pt>
                <c:pt idx="606">
                  <c:v>45124</c:v>
                </c:pt>
                <c:pt idx="607">
                  <c:v>45121</c:v>
                </c:pt>
                <c:pt idx="608">
                  <c:v>45120</c:v>
                </c:pt>
                <c:pt idx="609">
                  <c:v>45119</c:v>
                </c:pt>
                <c:pt idx="610">
                  <c:v>45118</c:v>
                </c:pt>
                <c:pt idx="611">
                  <c:v>45117</c:v>
                </c:pt>
                <c:pt idx="612">
                  <c:v>45114</c:v>
                </c:pt>
                <c:pt idx="613">
                  <c:v>45113</c:v>
                </c:pt>
                <c:pt idx="614">
                  <c:v>45112</c:v>
                </c:pt>
                <c:pt idx="615">
                  <c:v>45111</c:v>
                </c:pt>
                <c:pt idx="616">
                  <c:v>45110</c:v>
                </c:pt>
                <c:pt idx="617">
                  <c:v>45107</c:v>
                </c:pt>
                <c:pt idx="618">
                  <c:v>45105</c:v>
                </c:pt>
                <c:pt idx="619">
                  <c:v>45104</c:v>
                </c:pt>
                <c:pt idx="620">
                  <c:v>45103</c:v>
                </c:pt>
                <c:pt idx="621">
                  <c:v>45100</c:v>
                </c:pt>
                <c:pt idx="622">
                  <c:v>45099</c:v>
                </c:pt>
                <c:pt idx="623">
                  <c:v>45098</c:v>
                </c:pt>
                <c:pt idx="624">
                  <c:v>45097</c:v>
                </c:pt>
                <c:pt idx="625">
                  <c:v>45096</c:v>
                </c:pt>
                <c:pt idx="626">
                  <c:v>45093</c:v>
                </c:pt>
                <c:pt idx="627">
                  <c:v>45092</c:v>
                </c:pt>
                <c:pt idx="628">
                  <c:v>45091</c:v>
                </c:pt>
                <c:pt idx="629">
                  <c:v>45090</c:v>
                </c:pt>
                <c:pt idx="630">
                  <c:v>45089</c:v>
                </c:pt>
                <c:pt idx="631">
                  <c:v>45086</c:v>
                </c:pt>
                <c:pt idx="632">
                  <c:v>45085</c:v>
                </c:pt>
                <c:pt idx="633">
                  <c:v>45084</c:v>
                </c:pt>
                <c:pt idx="634">
                  <c:v>45083</c:v>
                </c:pt>
                <c:pt idx="635">
                  <c:v>45082</c:v>
                </c:pt>
                <c:pt idx="636">
                  <c:v>45079</c:v>
                </c:pt>
                <c:pt idx="637">
                  <c:v>45078</c:v>
                </c:pt>
                <c:pt idx="638">
                  <c:v>45077</c:v>
                </c:pt>
                <c:pt idx="639">
                  <c:v>45076</c:v>
                </c:pt>
                <c:pt idx="640">
                  <c:v>45075</c:v>
                </c:pt>
                <c:pt idx="641">
                  <c:v>45072</c:v>
                </c:pt>
                <c:pt idx="642">
                  <c:v>45071</c:v>
                </c:pt>
                <c:pt idx="643">
                  <c:v>45070</c:v>
                </c:pt>
                <c:pt idx="644">
                  <c:v>45069</c:v>
                </c:pt>
                <c:pt idx="645">
                  <c:v>45068</c:v>
                </c:pt>
                <c:pt idx="646">
                  <c:v>45065</c:v>
                </c:pt>
                <c:pt idx="647">
                  <c:v>45064</c:v>
                </c:pt>
                <c:pt idx="648">
                  <c:v>45063</c:v>
                </c:pt>
                <c:pt idx="649">
                  <c:v>45062</c:v>
                </c:pt>
                <c:pt idx="650">
                  <c:v>45061</c:v>
                </c:pt>
                <c:pt idx="651">
                  <c:v>45058</c:v>
                </c:pt>
                <c:pt idx="652">
                  <c:v>45057</c:v>
                </c:pt>
                <c:pt idx="653">
                  <c:v>45056</c:v>
                </c:pt>
                <c:pt idx="654">
                  <c:v>45055</c:v>
                </c:pt>
                <c:pt idx="655">
                  <c:v>45054</c:v>
                </c:pt>
                <c:pt idx="656">
                  <c:v>45051</c:v>
                </c:pt>
                <c:pt idx="657">
                  <c:v>45050</c:v>
                </c:pt>
                <c:pt idx="658">
                  <c:v>45049</c:v>
                </c:pt>
                <c:pt idx="659">
                  <c:v>45048</c:v>
                </c:pt>
                <c:pt idx="660">
                  <c:v>45044</c:v>
                </c:pt>
                <c:pt idx="661">
                  <c:v>45043</c:v>
                </c:pt>
                <c:pt idx="662">
                  <c:v>45042</c:v>
                </c:pt>
                <c:pt idx="663">
                  <c:v>45041</c:v>
                </c:pt>
                <c:pt idx="664">
                  <c:v>45040</c:v>
                </c:pt>
                <c:pt idx="665">
                  <c:v>45037</c:v>
                </c:pt>
                <c:pt idx="666">
                  <c:v>45036</c:v>
                </c:pt>
                <c:pt idx="667">
                  <c:v>45035</c:v>
                </c:pt>
                <c:pt idx="668">
                  <c:v>45034</c:v>
                </c:pt>
                <c:pt idx="669">
                  <c:v>45033</c:v>
                </c:pt>
                <c:pt idx="670">
                  <c:v>45029</c:v>
                </c:pt>
                <c:pt idx="671">
                  <c:v>45028</c:v>
                </c:pt>
                <c:pt idx="672">
                  <c:v>45027</c:v>
                </c:pt>
                <c:pt idx="673">
                  <c:v>45026</c:v>
                </c:pt>
                <c:pt idx="674">
                  <c:v>45022</c:v>
                </c:pt>
                <c:pt idx="675">
                  <c:v>45021</c:v>
                </c:pt>
                <c:pt idx="676">
                  <c:v>45019</c:v>
                </c:pt>
                <c:pt idx="677">
                  <c:v>45016</c:v>
                </c:pt>
                <c:pt idx="678">
                  <c:v>45014</c:v>
                </c:pt>
                <c:pt idx="679">
                  <c:v>45013</c:v>
                </c:pt>
                <c:pt idx="680">
                  <c:v>45012</c:v>
                </c:pt>
                <c:pt idx="681">
                  <c:v>45009</c:v>
                </c:pt>
                <c:pt idx="682">
                  <c:v>45008</c:v>
                </c:pt>
                <c:pt idx="683">
                  <c:v>45007</c:v>
                </c:pt>
                <c:pt idx="684">
                  <c:v>45006</c:v>
                </c:pt>
                <c:pt idx="685">
                  <c:v>45005</c:v>
                </c:pt>
                <c:pt idx="686">
                  <c:v>45002</c:v>
                </c:pt>
                <c:pt idx="687">
                  <c:v>45001</c:v>
                </c:pt>
                <c:pt idx="688">
                  <c:v>45000</c:v>
                </c:pt>
                <c:pt idx="689">
                  <c:v>44999</c:v>
                </c:pt>
                <c:pt idx="690">
                  <c:v>44998</c:v>
                </c:pt>
                <c:pt idx="691">
                  <c:v>44995</c:v>
                </c:pt>
                <c:pt idx="692">
                  <c:v>44994</c:v>
                </c:pt>
                <c:pt idx="693">
                  <c:v>44993</c:v>
                </c:pt>
                <c:pt idx="694">
                  <c:v>44991</c:v>
                </c:pt>
                <c:pt idx="695">
                  <c:v>44988</c:v>
                </c:pt>
                <c:pt idx="696">
                  <c:v>44987</c:v>
                </c:pt>
                <c:pt idx="697">
                  <c:v>44986</c:v>
                </c:pt>
                <c:pt idx="698">
                  <c:v>44985</c:v>
                </c:pt>
                <c:pt idx="699">
                  <c:v>44984</c:v>
                </c:pt>
                <c:pt idx="700">
                  <c:v>44981</c:v>
                </c:pt>
                <c:pt idx="701">
                  <c:v>44980</c:v>
                </c:pt>
                <c:pt idx="702">
                  <c:v>44979</c:v>
                </c:pt>
                <c:pt idx="703">
                  <c:v>44978</c:v>
                </c:pt>
                <c:pt idx="704">
                  <c:v>44977</c:v>
                </c:pt>
                <c:pt idx="705">
                  <c:v>44974</c:v>
                </c:pt>
                <c:pt idx="706">
                  <c:v>44973</c:v>
                </c:pt>
                <c:pt idx="707">
                  <c:v>44972</c:v>
                </c:pt>
                <c:pt idx="708">
                  <c:v>44971</c:v>
                </c:pt>
                <c:pt idx="709">
                  <c:v>44970</c:v>
                </c:pt>
                <c:pt idx="710">
                  <c:v>44967</c:v>
                </c:pt>
                <c:pt idx="711">
                  <c:v>44966</c:v>
                </c:pt>
                <c:pt idx="712">
                  <c:v>44965</c:v>
                </c:pt>
                <c:pt idx="713">
                  <c:v>44964</c:v>
                </c:pt>
                <c:pt idx="714">
                  <c:v>44963</c:v>
                </c:pt>
                <c:pt idx="715">
                  <c:v>44960</c:v>
                </c:pt>
                <c:pt idx="716">
                  <c:v>44959</c:v>
                </c:pt>
                <c:pt idx="717">
                  <c:v>44958</c:v>
                </c:pt>
                <c:pt idx="718">
                  <c:v>44957</c:v>
                </c:pt>
                <c:pt idx="719">
                  <c:v>44956</c:v>
                </c:pt>
                <c:pt idx="720">
                  <c:v>44953</c:v>
                </c:pt>
                <c:pt idx="721">
                  <c:v>44951</c:v>
                </c:pt>
                <c:pt idx="722">
                  <c:v>44950</c:v>
                </c:pt>
                <c:pt idx="723">
                  <c:v>44949</c:v>
                </c:pt>
                <c:pt idx="724">
                  <c:v>44946</c:v>
                </c:pt>
                <c:pt idx="725">
                  <c:v>44945</c:v>
                </c:pt>
                <c:pt idx="726">
                  <c:v>44944</c:v>
                </c:pt>
                <c:pt idx="727">
                  <c:v>44943</c:v>
                </c:pt>
                <c:pt idx="728">
                  <c:v>44942</c:v>
                </c:pt>
                <c:pt idx="729">
                  <c:v>44939</c:v>
                </c:pt>
                <c:pt idx="730">
                  <c:v>44938</c:v>
                </c:pt>
                <c:pt idx="731">
                  <c:v>44937</c:v>
                </c:pt>
                <c:pt idx="732">
                  <c:v>44936</c:v>
                </c:pt>
                <c:pt idx="733">
                  <c:v>44935</c:v>
                </c:pt>
                <c:pt idx="734">
                  <c:v>44932</c:v>
                </c:pt>
                <c:pt idx="735">
                  <c:v>44931</c:v>
                </c:pt>
                <c:pt idx="736">
                  <c:v>44930</c:v>
                </c:pt>
                <c:pt idx="737">
                  <c:v>44929</c:v>
                </c:pt>
                <c:pt idx="738">
                  <c:v>44928</c:v>
                </c:pt>
                <c:pt idx="739">
                  <c:v>44925</c:v>
                </c:pt>
                <c:pt idx="740">
                  <c:v>44924</c:v>
                </c:pt>
                <c:pt idx="741">
                  <c:v>44923</c:v>
                </c:pt>
                <c:pt idx="742">
                  <c:v>44922</c:v>
                </c:pt>
                <c:pt idx="743">
                  <c:v>44921</c:v>
                </c:pt>
                <c:pt idx="744">
                  <c:v>44918</c:v>
                </c:pt>
                <c:pt idx="745">
                  <c:v>44917</c:v>
                </c:pt>
                <c:pt idx="746">
                  <c:v>44916</c:v>
                </c:pt>
                <c:pt idx="747">
                  <c:v>44915</c:v>
                </c:pt>
                <c:pt idx="748">
                  <c:v>44914</c:v>
                </c:pt>
                <c:pt idx="749">
                  <c:v>44911</c:v>
                </c:pt>
                <c:pt idx="750">
                  <c:v>44910</c:v>
                </c:pt>
                <c:pt idx="751">
                  <c:v>44909</c:v>
                </c:pt>
                <c:pt idx="752">
                  <c:v>44908</c:v>
                </c:pt>
                <c:pt idx="753">
                  <c:v>44907</c:v>
                </c:pt>
                <c:pt idx="754">
                  <c:v>44904</c:v>
                </c:pt>
                <c:pt idx="755">
                  <c:v>44903</c:v>
                </c:pt>
                <c:pt idx="756">
                  <c:v>44902</c:v>
                </c:pt>
                <c:pt idx="757">
                  <c:v>44901</c:v>
                </c:pt>
                <c:pt idx="758">
                  <c:v>44900</c:v>
                </c:pt>
                <c:pt idx="759">
                  <c:v>44897</c:v>
                </c:pt>
                <c:pt idx="760">
                  <c:v>44896</c:v>
                </c:pt>
                <c:pt idx="761">
                  <c:v>44895</c:v>
                </c:pt>
                <c:pt idx="762">
                  <c:v>44894</c:v>
                </c:pt>
                <c:pt idx="763">
                  <c:v>44893</c:v>
                </c:pt>
                <c:pt idx="764">
                  <c:v>44890</c:v>
                </c:pt>
                <c:pt idx="765">
                  <c:v>44889</c:v>
                </c:pt>
                <c:pt idx="766">
                  <c:v>44888</c:v>
                </c:pt>
                <c:pt idx="767">
                  <c:v>44887</c:v>
                </c:pt>
                <c:pt idx="768">
                  <c:v>44886</c:v>
                </c:pt>
                <c:pt idx="769">
                  <c:v>44883</c:v>
                </c:pt>
                <c:pt idx="770">
                  <c:v>44882</c:v>
                </c:pt>
                <c:pt idx="771">
                  <c:v>44881</c:v>
                </c:pt>
                <c:pt idx="772">
                  <c:v>44880</c:v>
                </c:pt>
                <c:pt idx="773">
                  <c:v>44879</c:v>
                </c:pt>
                <c:pt idx="774">
                  <c:v>44876</c:v>
                </c:pt>
                <c:pt idx="775">
                  <c:v>44875</c:v>
                </c:pt>
                <c:pt idx="776">
                  <c:v>44874</c:v>
                </c:pt>
                <c:pt idx="777">
                  <c:v>44872</c:v>
                </c:pt>
                <c:pt idx="778">
                  <c:v>44869</c:v>
                </c:pt>
                <c:pt idx="779">
                  <c:v>44868</c:v>
                </c:pt>
                <c:pt idx="780">
                  <c:v>44867</c:v>
                </c:pt>
                <c:pt idx="781">
                  <c:v>44866</c:v>
                </c:pt>
                <c:pt idx="782">
                  <c:v>44865</c:v>
                </c:pt>
                <c:pt idx="783">
                  <c:v>44862</c:v>
                </c:pt>
                <c:pt idx="784">
                  <c:v>44861</c:v>
                </c:pt>
                <c:pt idx="785">
                  <c:v>44859</c:v>
                </c:pt>
                <c:pt idx="786">
                  <c:v>44858</c:v>
                </c:pt>
                <c:pt idx="787">
                  <c:v>44855</c:v>
                </c:pt>
                <c:pt idx="788">
                  <c:v>44854</c:v>
                </c:pt>
                <c:pt idx="789">
                  <c:v>44853</c:v>
                </c:pt>
                <c:pt idx="790">
                  <c:v>44852</c:v>
                </c:pt>
                <c:pt idx="791">
                  <c:v>44851</c:v>
                </c:pt>
                <c:pt idx="792">
                  <c:v>44848</c:v>
                </c:pt>
                <c:pt idx="793">
                  <c:v>44847</c:v>
                </c:pt>
                <c:pt idx="794">
                  <c:v>44846</c:v>
                </c:pt>
                <c:pt idx="795">
                  <c:v>44845</c:v>
                </c:pt>
                <c:pt idx="796">
                  <c:v>44844</c:v>
                </c:pt>
                <c:pt idx="797">
                  <c:v>44841</c:v>
                </c:pt>
                <c:pt idx="798">
                  <c:v>44840</c:v>
                </c:pt>
                <c:pt idx="799">
                  <c:v>44838</c:v>
                </c:pt>
                <c:pt idx="800">
                  <c:v>44837</c:v>
                </c:pt>
                <c:pt idx="801">
                  <c:v>44834</c:v>
                </c:pt>
                <c:pt idx="802">
                  <c:v>44833</c:v>
                </c:pt>
                <c:pt idx="803">
                  <c:v>44832</c:v>
                </c:pt>
                <c:pt idx="804">
                  <c:v>44831</c:v>
                </c:pt>
                <c:pt idx="805">
                  <c:v>44830</c:v>
                </c:pt>
                <c:pt idx="806">
                  <c:v>44827</c:v>
                </c:pt>
                <c:pt idx="807">
                  <c:v>44826</c:v>
                </c:pt>
                <c:pt idx="808">
                  <c:v>44825</c:v>
                </c:pt>
                <c:pt idx="809">
                  <c:v>44824</c:v>
                </c:pt>
                <c:pt idx="810">
                  <c:v>44823</c:v>
                </c:pt>
                <c:pt idx="811">
                  <c:v>44820</c:v>
                </c:pt>
                <c:pt idx="812">
                  <c:v>44819</c:v>
                </c:pt>
                <c:pt idx="813">
                  <c:v>44818</c:v>
                </c:pt>
                <c:pt idx="814">
                  <c:v>44817</c:v>
                </c:pt>
                <c:pt idx="815">
                  <c:v>44816</c:v>
                </c:pt>
                <c:pt idx="816">
                  <c:v>44813</c:v>
                </c:pt>
                <c:pt idx="817">
                  <c:v>44812</c:v>
                </c:pt>
                <c:pt idx="818">
                  <c:v>44811</c:v>
                </c:pt>
                <c:pt idx="819">
                  <c:v>44810</c:v>
                </c:pt>
                <c:pt idx="820">
                  <c:v>44809</c:v>
                </c:pt>
                <c:pt idx="821">
                  <c:v>44806</c:v>
                </c:pt>
                <c:pt idx="822">
                  <c:v>44805</c:v>
                </c:pt>
                <c:pt idx="823">
                  <c:v>44803</c:v>
                </c:pt>
                <c:pt idx="824">
                  <c:v>44802</c:v>
                </c:pt>
                <c:pt idx="825">
                  <c:v>44799</c:v>
                </c:pt>
                <c:pt idx="826">
                  <c:v>44798</c:v>
                </c:pt>
                <c:pt idx="827">
                  <c:v>44797</c:v>
                </c:pt>
                <c:pt idx="828">
                  <c:v>44796</c:v>
                </c:pt>
                <c:pt idx="829">
                  <c:v>44795</c:v>
                </c:pt>
                <c:pt idx="830">
                  <c:v>44792</c:v>
                </c:pt>
                <c:pt idx="831">
                  <c:v>44791</c:v>
                </c:pt>
                <c:pt idx="832">
                  <c:v>44790</c:v>
                </c:pt>
                <c:pt idx="833">
                  <c:v>44789</c:v>
                </c:pt>
                <c:pt idx="834">
                  <c:v>44785</c:v>
                </c:pt>
                <c:pt idx="835">
                  <c:v>44784</c:v>
                </c:pt>
                <c:pt idx="836">
                  <c:v>44783</c:v>
                </c:pt>
                <c:pt idx="837">
                  <c:v>44781</c:v>
                </c:pt>
                <c:pt idx="838">
                  <c:v>44778</c:v>
                </c:pt>
                <c:pt idx="839">
                  <c:v>44777</c:v>
                </c:pt>
                <c:pt idx="840">
                  <c:v>44776</c:v>
                </c:pt>
                <c:pt idx="841">
                  <c:v>44775</c:v>
                </c:pt>
                <c:pt idx="842">
                  <c:v>44774</c:v>
                </c:pt>
                <c:pt idx="843">
                  <c:v>44771</c:v>
                </c:pt>
                <c:pt idx="844">
                  <c:v>44770</c:v>
                </c:pt>
                <c:pt idx="845">
                  <c:v>44769</c:v>
                </c:pt>
                <c:pt idx="846">
                  <c:v>44768</c:v>
                </c:pt>
                <c:pt idx="847">
                  <c:v>44767</c:v>
                </c:pt>
                <c:pt idx="848">
                  <c:v>44764</c:v>
                </c:pt>
                <c:pt idx="849">
                  <c:v>44763</c:v>
                </c:pt>
                <c:pt idx="850">
                  <c:v>44762</c:v>
                </c:pt>
                <c:pt idx="851">
                  <c:v>44761</c:v>
                </c:pt>
                <c:pt idx="852">
                  <c:v>44760</c:v>
                </c:pt>
                <c:pt idx="853">
                  <c:v>44757</c:v>
                </c:pt>
                <c:pt idx="854">
                  <c:v>44756</c:v>
                </c:pt>
                <c:pt idx="855">
                  <c:v>44755</c:v>
                </c:pt>
                <c:pt idx="856">
                  <c:v>44754</c:v>
                </c:pt>
                <c:pt idx="857">
                  <c:v>44753</c:v>
                </c:pt>
                <c:pt idx="858">
                  <c:v>44750</c:v>
                </c:pt>
                <c:pt idx="859">
                  <c:v>44749</c:v>
                </c:pt>
                <c:pt idx="860">
                  <c:v>44748</c:v>
                </c:pt>
                <c:pt idx="861">
                  <c:v>44747</c:v>
                </c:pt>
                <c:pt idx="862">
                  <c:v>44746</c:v>
                </c:pt>
                <c:pt idx="863">
                  <c:v>44743</c:v>
                </c:pt>
                <c:pt idx="864">
                  <c:v>44742</c:v>
                </c:pt>
                <c:pt idx="865">
                  <c:v>44741</c:v>
                </c:pt>
                <c:pt idx="866">
                  <c:v>44740</c:v>
                </c:pt>
                <c:pt idx="867">
                  <c:v>44739</c:v>
                </c:pt>
                <c:pt idx="868">
                  <c:v>44736</c:v>
                </c:pt>
                <c:pt idx="869">
                  <c:v>44735</c:v>
                </c:pt>
                <c:pt idx="870">
                  <c:v>44734</c:v>
                </c:pt>
                <c:pt idx="871">
                  <c:v>44733</c:v>
                </c:pt>
                <c:pt idx="872">
                  <c:v>44732</c:v>
                </c:pt>
                <c:pt idx="873">
                  <c:v>44729</c:v>
                </c:pt>
                <c:pt idx="874">
                  <c:v>44728</c:v>
                </c:pt>
                <c:pt idx="875">
                  <c:v>44727</c:v>
                </c:pt>
                <c:pt idx="876">
                  <c:v>44726</c:v>
                </c:pt>
                <c:pt idx="877">
                  <c:v>44725</c:v>
                </c:pt>
                <c:pt idx="878">
                  <c:v>44722</c:v>
                </c:pt>
                <c:pt idx="879">
                  <c:v>44721</c:v>
                </c:pt>
                <c:pt idx="880">
                  <c:v>44720</c:v>
                </c:pt>
                <c:pt idx="881">
                  <c:v>44719</c:v>
                </c:pt>
                <c:pt idx="882">
                  <c:v>44718</c:v>
                </c:pt>
                <c:pt idx="883">
                  <c:v>44715</c:v>
                </c:pt>
                <c:pt idx="884">
                  <c:v>44714</c:v>
                </c:pt>
                <c:pt idx="885">
                  <c:v>44713</c:v>
                </c:pt>
                <c:pt idx="886">
                  <c:v>44712</c:v>
                </c:pt>
                <c:pt idx="887">
                  <c:v>44711</c:v>
                </c:pt>
                <c:pt idx="888">
                  <c:v>44708</c:v>
                </c:pt>
                <c:pt idx="889">
                  <c:v>44707</c:v>
                </c:pt>
                <c:pt idx="890">
                  <c:v>44706</c:v>
                </c:pt>
                <c:pt idx="891">
                  <c:v>44705</c:v>
                </c:pt>
                <c:pt idx="892">
                  <c:v>44704</c:v>
                </c:pt>
                <c:pt idx="893">
                  <c:v>44701</c:v>
                </c:pt>
                <c:pt idx="894">
                  <c:v>44700</c:v>
                </c:pt>
                <c:pt idx="895">
                  <c:v>44699</c:v>
                </c:pt>
                <c:pt idx="896">
                  <c:v>44698</c:v>
                </c:pt>
                <c:pt idx="897">
                  <c:v>44697</c:v>
                </c:pt>
                <c:pt idx="898">
                  <c:v>44694</c:v>
                </c:pt>
                <c:pt idx="899">
                  <c:v>44693</c:v>
                </c:pt>
                <c:pt idx="900">
                  <c:v>44692</c:v>
                </c:pt>
                <c:pt idx="901">
                  <c:v>44691</c:v>
                </c:pt>
                <c:pt idx="902">
                  <c:v>44690</c:v>
                </c:pt>
                <c:pt idx="903">
                  <c:v>44687</c:v>
                </c:pt>
                <c:pt idx="904">
                  <c:v>44686</c:v>
                </c:pt>
                <c:pt idx="905">
                  <c:v>44685</c:v>
                </c:pt>
                <c:pt idx="906">
                  <c:v>44683</c:v>
                </c:pt>
                <c:pt idx="907">
                  <c:v>44680</c:v>
                </c:pt>
                <c:pt idx="908">
                  <c:v>44679</c:v>
                </c:pt>
                <c:pt idx="909">
                  <c:v>44678</c:v>
                </c:pt>
                <c:pt idx="910">
                  <c:v>44677</c:v>
                </c:pt>
                <c:pt idx="911">
                  <c:v>44676</c:v>
                </c:pt>
                <c:pt idx="912">
                  <c:v>44673</c:v>
                </c:pt>
                <c:pt idx="913">
                  <c:v>44672</c:v>
                </c:pt>
                <c:pt idx="914">
                  <c:v>44671</c:v>
                </c:pt>
                <c:pt idx="915">
                  <c:v>44670</c:v>
                </c:pt>
                <c:pt idx="916">
                  <c:v>44669</c:v>
                </c:pt>
                <c:pt idx="917">
                  <c:v>44664</c:v>
                </c:pt>
                <c:pt idx="918">
                  <c:v>44663</c:v>
                </c:pt>
                <c:pt idx="919">
                  <c:v>44662</c:v>
                </c:pt>
                <c:pt idx="920">
                  <c:v>44659</c:v>
                </c:pt>
                <c:pt idx="921">
                  <c:v>44658</c:v>
                </c:pt>
                <c:pt idx="922">
                  <c:v>44657</c:v>
                </c:pt>
                <c:pt idx="923">
                  <c:v>44656</c:v>
                </c:pt>
                <c:pt idx="924">
                  <c:v>44655</c:v>
                </c:pt>
                <c:pt idx="925">
                  <c:v>44652</c:v>
                </c:pt>
                <c:pt idx="926">
                  <c:v>44651</c:v>
                </c:pt>
                <c:pt idx="927">
                  <c:v>44650</c:v>
                </c:pt>
                <c:pt idx="928">
                  <c:v>44649</c:v>
                </c:pt>
                <c:pt idx="929">
                  <c:v>44648</c:v>
                </c:pt>
                <c:pt idx="930">
                  <c:v>44645</c:v>
                </c:pt>
                <c:pt idx="931">
                  <c:v>44644</c:v>
                </c:pt>
                <c:pt idx="932">
                  <c:v>44643</c:v>
                </c:pt>
                <c:pt idx="933">
                  <c:v>44642</c:v>
                </c:pt>
                <c:pt idx="934">
                  <c:v>44641</c:v>
                </c:pt>
                <c:pt idx="935">
                  <c:v>44637</c:v>
                </c:pt>
                <c:pt idx="936">
                  <c:v>44636</c:v>
                </c:pt>
                <c:pt idx="937">
                  <c:v>44635</c:v>
                </c:pt>
                <c:pt idx="938">
                  <c:v>44634</c:v>
                </c:pt>
                <c:pt idx="939">
                  <c:v>44631</c:v>
                </c:pt>
                <c:pt idx="940">
                  <c:v>44630</c:v>
                </c:pt>
                <c:pt idx="941">
                  <c:v>44629</c:v>
                </c:pt>
                <c:pt idx="942">
                  <c:v>44628</c:v>
                </c:pt>
                <c:pt idx="943">
                  <c:v>44627</c:v>
                </c:pt>
                <c:pt idx="944">
                  <c:v>44624</c:v>
                </c:pt>
                <c:pt idx="945">
                  <c:v>44623</c:v>
                </c:pt>
                <c:pt idx="946">
                  <c:v>44622</c:v>
                </c:pt>
                <c:pt idx="947">
                  <c:v>44620</c:v>
                </c:pt>
                <c:pt idx="948">
                  <c:v>44617</c:v>
                </c:pt>
                <c:pt idx="949">
                  <c:v>44616</c:v>
                </c:pt>
                <c:pt idx="950">
                  <c:v>44615</c:v>
                </c:pt>
                <c:pt idx="951">
                  <c:v>44614</c:v>
                </c:pt>
                <c:pt idx="952">
                  <c:v>44613</c:v>
                </c:pt>
                <c:pt idx="953">
                  <c:v>44610</c:v>
                </c:pt>
                <c:pt idx="954">
                  <c:v>44609</c:v>
                </c:pt>
                <c:pt idx="955">
                  <c:v>44608</c:v>
                </c:pt>
                <c:pt idx="956">
                  <c:v>44607</c:v>
                </c:pt>
                <c:pt idx="957">
                  <c:v>44606</c:v>
                </c:pt>
                <c:pt idx="958">
                  <c:v>44603</c:v>
                </c:pt>
                <c:pt idx="959">
                  <c:v>44602</c:v>
                </c:pt>
                <c:pt idx="960">
                  <c:v>44601</c:v>
                </c:pt>
                <c:pt idx="961">
                  <c:v>44600</c:v>
                </c:pt>
                <c:pt idx="962">
                  <c:v>44599</c:v>
                </c:pt>
                <c:pt idx="963">
                  <c:v>44596</c:v>
                </c:pt>
                <c:pt idx="964">
                  <c:v>44595</c:v>
                </c:pt>
                <c:pt idx="965">
                  <c:v>44594</c:v>
                </c:pt>
                <c:pt idx="966">
                  <c:v>44593</c:v>
                </c:pt>
                <c:pt idx="967">
                  <c:v>44592</c:v>
                </c:pt>
                <c:pt idx="968">
                  <c:v>44589</c:v>
                </c:pt>
                <c:pt idx="969">
                  <c:v>44588</c:v>
                </c:pt>
                <c:pt idx="970">
                  <c:v>44586</c:v>
                </c:pt>
                <c:pt idx="971">
                  <c:v>44585</c:v>
                </c:pt>
                <c:pt idx="972">
                  <c:v>44582</c:v>
                </c:pt>
                <c:pt idx="973">
                  <c:v>44581</c:v>
                </c:pt>
                <c:pt idx="974">
                  <c:v>44580</c:v>
                </c:pt>
                <c:pt idx="975">
                  <c:v>44579</c:v>
                </c:pt>
                <c:pt idx="976">
                  <c:v>44578</c:v>
                </c:pt>
                <c:pt idx="977">
                  <c:v>44575</c:v>
                </c:pt>
                <c:pt idx="978">
                  <c:v>44574</c:v>
                </c:pt>
                <c:pt idx="979">
                  <c:v>44573</c:v>
                </c:pt>
                <c:pt idx="980">
                  <c:v>44572</c:v>
                </c:pt>
                <c:pt idx="981">
                  <c:v>44571</c:v>
                </c:pt>
                <c:pt idx="982">
                  <c:v>44568</c:v>
                </c:pt>
                <c:pt idx="983">
                  <c:v>44567</c:v>
                </c:pt>
                <c:pt idx="984">
                  <c:v>44566</c:v>
                </c:pt>
                <c:pt idx="985">
                  <c:v>44565</c:v>
                </c:pt>
                <c:pt idx="986">
                  <c:v>44564</c:v>
                </c:pt>
                <c:pt idx="987">
                  <c:v>44561</c:v>
                </c:pt>
                <c:pt idx="988">
                  <c:v>44560</c:v>
                </c:pt>
                <c:pt idx="989">
                  <c:v>44559</c:v>
                </c:pt>
                <c:pt idx="990">
                  <c:v>44558</c:v>
                </c:pt>
                <c:pt idx="991">
                  <c:v>44557</c:v>
                </c:pt>
                <c:pt idx="992">
                  <c:v>44554</c:v>
                </c:pt>
                <c:pt idx="993">
                  <c:v>44553</c:v>
                </c:pt>
                <c:pt idx="994">
                  <c:v>44552</c:v>
                </c:pt>
                <c:pt idx="995">
                  <c:v>44551</c:v>
                </c:pt>
                <c:pt idx="996">
                  <c:v>44550</c:v>
                </c:pt>
                <c:pt idx="997">
                  <c:v>44547</c:v>
                </c:pt>
                <c:pt idx="998">
                  <c:v>44546</c:v>
                </c:pt>
                <c:pt idx="999">
                  <c:v>44545</c:v>
                </c:pt>
                <c:pt idx="1000">
                  <c:v>44544</c:v>
                </c:pt>
                <c:pt idx="1001">
                  <c:v>44543</c:v>
                </c:pt>
                <c:pt idx="1002">
                  <c:v>44540</c:v>
                </c:pt>
                <c:pt idx="1003">
                  <c:v>44539</c:v>
                </c:pt>
                <c:pt idx="1004">
                  <c:v>44538</c:v>
                </c:pt>
                <c:pt idx="1005">
                  <c:v>44537</c:v>
                </c:pt>
                <c:pt idx="1006">
                  <c:v>44536</c:v>
                </c:pt>
                <c:pt idx="1007">
                  <c:v>44533</c:v>
                </c:pt>
                <c:pt idx="1008">
                  <c:v>44532</c:v>
                </c:pt>
                <c:pt idx="1009">
                  <c:v>44531</c:v>
                </c:pt>
                <c:pt idx="1010">
                  <c:v>44530</c:v>
                </c:pt>
                <c:pt idx="1011">
                  <c:v>44529</c:v>
                </c:pt>
                <c:pt idx="1012">
                  <c:v>44526</c:v>
                </c:pt>
                <c:pt idx="1013">
                  <c:v>44525</c:v>
                </c:pt>
                <c:pt idx="1014">
                  <c:v>44524</c:v>
                </c:pt>
                <c:pt idx="1015">
                  <c:v>44523</c:v>
                </c:pt>
                <c:pt idx="1016">
                  <c:v>44522</c:v>
                </c:pt>
                <c:pt idx="1017">
                  <c:v>44518</c:v>
                </c:pt>
                <c:pt idx="1018">
                  <c:v>44517</c:v>
                </c:pt>
                <c:pt idx="1019">
                  <c:v>44516</c:v>
                </c:pt>
                <c:pt idx="1020">
                  <c:v>44515</c:v>
                </c:pt>
                <c:pt idx="1021">
                  <c:v>44512</c:v>
                </c:pt>
                <c:pt idx="1022">
                  <c:v>44511</c:v>
                </c:pt>
                <c:pt idx="1023">
                  <c:v>44510</c:v>
                </c:pt>
                <c:pt idx="1024">
                  <c:v>44509</c:v>
                </c:pt>
                <c:pt idx="1025">
                  <c:v>44508</c:v>
                </c:pt>
                <c:pt idx="1026">
                  <c:v>44504</c:v>
                </c:pt>
                <c:pt idx="1027">
                  <c:v>44503</c:v>
                </c:pt>
                <c:pt idx="1028">
                  <c:v>44502</c:v>
                </c:pt>
                <c:pt idx="1029">
                  <c:v>44501</c:v>
                </c:pt>
                <c:pt idx="1030">
                  <c:v>44498</c:v>
                </c:pt>
                <c:pt idx="1031">
                  <c:v>44497</c:v>
                </c:pt>
                <c:pt idx="1032">
                  <c:v>44496</c:v>
                </c:pt>
                <c:pt idx="1033">
                  <c:v>44495</c:v>
                </c:pt>
                <c:pt idx="1034">
                  <c:v>44494</c:v>
                </c:pt>
                <c:pt idx="1035">
                  <c:v>44491</c:v>
                </c:pt>
                <c:pt idx="1036">
                  <c:v>44490</c:v>
                </c:pt>
                <c:pt idx="1037">
                  <c:v>44489</c:v>
                </c:pt>
                <c:pt idx="1038">
                  <c:v>44488</c:v>
                </c:pt>
                <c:pt idx="1039">
                  <c:v>44487</c:v>
                </c:pt>
                <c:pt idx="1040">
                  <c:v>44483</c:v>
                </c:pt>
                <c:pt idx="1041">
                  <c:v>44482</c:v>
                </c:pt>
                <c:pt idx="1042">
                  <c:v>44481</c:v>
                </c:pt>
                <c:pt idx="1043">
                  <c:v>44480</c:v>
                </c:pt>
                <c:pt idx="1044">
                  <c:v>44477</c:v>
                </c:pt>
                <c:pt idx="1045">
                  <c:v>44476</c:v>
                </c:pt>
                <c:pt idx="1046">
                  <c:v>44475</c:v>
                </c:pt>
                <c:pt idx="1047">
                  <c:v>44474</c:v>
                </c:pt>
                <c:pt idx="1048">
                  <c:v>44473</c:v>
                </c:pt>
                <c:pt idx="1049">
                  <c:v>44470</c:v>
                </c:pt>
                <c:pt idx="1050">
                  <c:v>44469</c:v>
                </c:pt>
                <c:pt idx="1051">
                  <c:v>44468</c:v>
                </c:pt>
                <c:pt idx="1052">
                  <c:v>44467</c:v>
                </c:pt>
                <c:pt idx="1053">
                  <c:v>44466</c:v>
                </c:pt>
                <c:pt idx="1054">
                  <c:v>44463</c:v>
                </c:pt>
                <c:pt idx="1055">
                  <c:v>44462</c:v>
                </c:pt>
                <c:pt idx="1056">
                  <c:v>44461</c:v>
                </c:pt>
                <c:pt idx="1057">
                  <c:v>44460</c:v>
                </c:pt>
                <c:pt idx="1058">
                  <c:v>44459</c:v>
                </c:pt>
                <c:pt idx="1059">
                  <c:v>44456</c:v>
                </c:pt>
                <c:pt idx="1060">
                  <c:v>44455</c:v>
                </c:pt>
                <c:pt idx="1061">
                  <c:v>44454</c:v>
                </c:pt>
                <c:pt idx="1062">
                  <c:v>44453</c:v>
                </c:pt>
                <c:pt idx="1063">
                  <c:v>44452</c:v>
                </c:pt>
                <c:pt idx="1064">
                  <c:v>44448</c:v>
                </c:pt>
                <c:pt idx="1065">
                  <c:v>44447</c:v>
                </c:pt>
                <c:pt idx="1066">
                  <c:v>44446</c:v>
                </c:pt>
                <c:pt idx="1067">
                  <c:v>44445</c:v>
                </c:pt>
                <c:pt idx="1068">
                  <c:v>44442</c:v>
                </c:pt>
                <c:pt idx="1069">
                  <c:v>44441</c:v>
                </c:pt>
                <c:pt idx="1070">
                  <c:v>44440</c:v>
                </c:pt>
                <c:pt idx="1071">
                  <c:v>44439</c:v>
                </c:pt>
                <c:pt idx="1072">
                  <c:v>44438</c:v>
                </c:pt>
                <c:pt idx="1073">
                  <c:v>44435</c:v>
                </c:pt>
                <c:pt idx="1074">
                  <c:v>44434</c:v>
                </c:pt>
                <c:pt idx="1075">
                  <c:v>44433</c:v>
                </c:pt>
                <c:pt idx="1076">
                  <c:v>44432</c:v>
                </c:pt>
                <c:pt idx="1077">
                  <c:v>44431</c:v>
                </c:pt>
                <c:pt idx="1078">
                  <c:v>44428</c:v>
                </c:pt>
                <c:pt idx="1079">
                  <c:v>44426</c:v>
                </c:pt>
                <c:pt idx="1080">
                  <c:v>44425</c:v>
                </c:pt>
                <c:pt idx="1081">
                  <c:v>44424</c:v>
                </c:pt>
                <c:pt idx="1082">
                  <c:v>44421</c:v>
                </c:pt>
                <c:pt idx="1083">
                  <c:v>44420</c:v>
                </c:pt>
                <c:pt idx="1084">
                  <c:v>44419</c:v>
                </c:pt>
                <c:pt idx="1085">
                  <c:v>44418</c:v>
                </c:pt>
                <c:pt idx="1086">
                  <c:v>44417</c:v>
                </c:pt>
                <c:pt idx="1087">
                  <c:v>44414</c:v>
                </c:pt>
                <c:pt idx="1088">
                  <c:v>44413</c:v>
                </c:pt>
                <c:pt idx="1089">
                  <c:v>44412</c:v>
                </c:pt>
                <c:pt idx="1090">
                  <c:v>44411</c:v>
                </c:pt>
                <c:pt idx="1091">
                  <c:v>44410</c:v>
                </c:pt>
                <c:pt idx="1092">
                  <c:v>44407</c:v>
                </c:pt>
                <c:pt idx="1093">
                  <c:v>44406</c:v>
                </c:pt>
                <c:pt idx="1094">
                  <c:v>44405</c:v>
                </c:pt>
                <c:pt idx="1095">
                  <c:v>44404</c:v>
                </c:pt>
                <c:pt idx="1096">
                  <c:v>44403</c:v>
                </c:pt>
                <c:pt idx="1097">
                  <c:v>44400</c:v>
                </c:pt>
                <c:pt idx="1098">
                  <c:v>44399</c:v>
                </c:pt>
                <c:pt idx="1099">
                  <c:v>44397</c:v>
                </c:pt>
                <c:pt idx="1100">
                  <c:v>44396</c:v>
                </c:pt>
                <c:pt idx="1101">
                  <c:v>44393</c:v>
                </c:pt>
                <c:pt idx="1102">
                  <c:v>44392</c:v>
                </c:pt>
                <c:pt idx="1103">
                  <c:v>44391</c:v>
                </c:pt>
                <c:pt idx="1104">
                  <c:v>44390</c:v>
                </c:pt>
                <c:pt idx="1105">
                  <c:v>44389</c:v>
                </c:pt>
                <c:pt idx="1106">
                  <c:v>44386</c:v>
                </c:pt>
                <c:pt idx="1107">
                  <c:v>44385</c:v>
                </c:pt>
                <c:pt idx="1108">
                  <c:v>44384</c:v>
                </c:pt>
                <c:pt idx="1109">
                  <c:v>44383</c:v>
                </c:pt>
                <c:pt idx="1110">
                  <c:v>44382</c:v>
                </c:pt>
                <c:pt idx="1111">
                  <c:v>44379</c:v>
                </c:pt>
                <c:pt idx="1112">
                  <c:v>44378</c:v>
                </c:pt>
                <c:pt idx="1113">
                  <c:v>44377</c:v>
                </c:pt>
                <c:pt idx="1114">
                  <c:v>44376</c:v>
                </c:pt>
                <c:pt idx="1115">
                  <c:v>44375</c:v>
                </c:pt>
                <c:pt idx="1116">
                  <c:v>44372</c:v>
                </c:pt>
                <c:pt idx="1117">
                  <c:v>44371</c:v>
                </c:pt>
                <c:pt idx="1118">
                  <c:v>44370</c:v>
                </c:pt>
                <c:pt idx="1119">
                  <c:v>44369</c:v>
                </c:pt>
                <c:pt idx="1120">
                  <c:v>44368</c:v>
                </c:pt>
                <c:pt idx="1121">
                  <c:v>44365</c:v>
                </c:pt>
                <c:pt idx="1122">
                  <c:v>44364</c:v>
                </c:pt>
                <c:pt idx="1123">
                  <c:v>44363</c:v>
                </c:pt>
                <c:pt idx="1124">
                  <c:v>44362</c:v>
                </c:pt>
                <c:pt idx="1125">
                  <c:v>44361</c:v>
                </c:pt>
                <c:pt idx="1126">
                  <c:v>44358</c:v>
                </c:pt>
                <c:pt idx="1127">
                  <c:v>44357</c:v>
                </c:pt>
                <c:pt idx="1128">
                  <c:v>44356</c:v>
                </c:pt>
                <c:pt idx="1129">
                  <c:v>44355</c:v>
                </c:pt>
                <c:pt idx="1130">
                  <c:v>44354</c:v>
                </c:pt>
                <c:pt idx="1131">
                  <c:v>44351</c:v>
                </c:pt>
                <c:pt idx="1132">
                  <c:v>44350</c:v>
                </c:pt>
                <c:pt idx="1133">
                  <c:v>44349</c:v>
                </c:pt>
                <c:pt idx="1134">
                  <c:v>44348</c:v>
                </c:pt>
                <c:pt idx="1135">
                  <c:v>44347</c:v>
                </c:pt>
                <c:pt idx="1136">
                  <c:v>44344</c:v>
                </c:pt>
                <c:pt idx="1137">
                  <c:v>44343</c:v>
                </c:pt>
                <c:pt idx="1138">
                  <c:v>44342</c:v>
                </c:pt>
                <c:pt idx="1139">
                  <c:v>44341</c:v>
                </c:pt>
                <c:pt idx="1140">
                  <c:v>44340</c:v>
                </c:pt>
                <c:pt idx="1141">
                  <c:v>44337</c:v>
                </c:pt>
                <c:pt idx="1142">
                  <c:v>44336</c:v>
                </c:pt>
                <c:pt idx="1143">
                  <c:v>44335</c:v>
                </c:pt>
                <c:pt idx="1144">
                  <c:v>44334</c:v>
                </c:pt>
                <c:pt idx="1145">
                  <c:v>44333</c:v>
                </c:pt>
                <c:pt idx="1146">
                  <c:v>44330</c:v>
                </c:pt>
                <c:pt idx="1147">
                  <c:v>44328</c:v>
                </c:pt>
                <c:pt idx="1148">
                  <c:v>44327</c:v>
                </c:pt>
                <c:pt idx="1149">
                  <c:v>44326</c:v>
                </c:pt>
                <c:pt idx="1150">
                  <c:v>44323</c:v>
                </c:pt>
                <c:pt idx="1151">
                  <c:v>44322</c:v>
                </c:pt>
                <c:pt idx="1152">
                  <c:v>44321</c:v>
                </c:pt>
                <c:pt idx="1153">
                  <c:v>44320</c:v>
                </c:pt>
                <c:pt idx="1154">
                  <c:v>44319</c:v>
                </c:pt>
                <c:pt idx="1155">
                  <c:v>44316</c:v>
                </c:pt>
                <c:pt idx="1156">
                  <c:v>44315</c:v>
                </c:pt>
                <c:pt idx="1157">
                  <c:v>44314</c:v>
                </c:pt>
                <c:pt idx="1158">
                  <c:v>44313</c:v>
                </c:pt>
                <c:pt idx="1159">
                  <c:v>44312</c:v>
                </c:pt>
                <c:pt idx="1160">
                  <c:v>44309</c:v>
                </c:pt>
                <c:pt idx="1161">
                  <c:v>44308</c:v>
                </c:pt>
                <c:pt idx="1162">
                  <c:v>44306</c:v>
                </c:pt>
                <c:pt idx="1163">
                  <c:v>44305</c:v>
                </c:pt>
                <c:pt idx="1164">
                  <c:v>44302</c:v>
                </c:pt>
                <c:pt idx="1165">
                  <c:v>44301</c:v>
                </c:pt>
                <c:pt idx="1166">
                  <c:v>44299</c:v>
                </c:pt>
                <c:pt idx="1167">
                  <c:v>44298</c:v>
                </c:pt>
                <c:pt idx="1168">
                  <c:v>44295</c:v>
                </c:pt>
                <c:pt idx="1169">
                  <c:v>44294</c:v>
                </c:pt>
                <c:pt idx="1170">
                  <c:v>44293</c:v>
                </c:pt>
                <c:pt idx="1171">
                  <c:v>44292</c:v>
                </c:pt>
                <c:pt idx="1172">
                  <c:v>44291</c:v>
                </c:pt>
                <c:pt idx="1173">
                  <c:v>44287</c:v>
                </c:pt>
                <c:pt idx="1174">
                  <c:v>44286</c:v>
                </c:pt>
                <c:pt idx="1175">
                  <c:v>44285</c:v>
                </c:pt>
                <c:pt idx="1176">
                  <c:v>44281</c:v>
                </c:pt>
                <c:pt idx="1177">
                  <c:v>44280</c:v>
                </c:pt>
                <c:pt idx="1178">
                  <c:v>44279</c:v>
                </c:pt>
                <c:pt idx="1179">
                  <c:v>44278</c:v>
                </c:pt>
                <c:pt idx="1180">
                  <c:v>44277</c:v>
                </c:pt>
                <c:pt idx="1181">
                  <c:v>44274</c:v>
                </c:pt>
                <c:pt idx="1182">
                  <c:v>44273</c:v>
                </c:pt>
                <c:pt idx="1183">
                  <c:v>44272</c:v>
                </c:pt>
                <c:pt idx="1184">
                  <c:v>44271</c:v>
                </c:pt>
                <c:pt idx="1185">
                  <c:v>44270</c:v>
                </c:pt>
                <c:pt idx="1186">
                  <c:v>44267</c:v>
                </c:pt>
                <c:pt idx="1187">
                  <c:v>44265</c:v>
                </c:pt>
                <c:pt idx="1188">
                  <c:v>44264</c:v>
                </c:pt>
                <c:pt idx="1189">
                  <c:v>44263</c:v>
                </c:pt>
                <c:pt idx="1190">
                  <c:v>44260</c:v>
                </c:pt>
                <c:pt idx="1191">
                  <c:v>44259</c:v>
                </c:pt>
                <c:pt idx="1192">
                  <c:v>44258</c:v>
                </c:pt>
                <c:pt idx="1193">
                  <c:v>44257</c:v>
                </c:pt>
                <c:pt idx="1194">
                  <c:v>44256</c:v>
                </c:pt>
                <c:pt idx="1195">
                  <c:v>44253</c:v>
                </c:pt>
                <c:pt idx="1196">
                  <c:v>44252</c:v>
                </c:pt>
                <c:pt idx="1197">
                  <c:v>44251</c:v>
                </c:pt>
                <c:pt idx="1198">
                  <c:v>44250</c:v>
                </c:pt>
                <c:pt idx="1199">
                  <c:v>44249</c:v>
                </c:pt>
                <c:pt idx="1200">
                  <c:v>44246</c:v>
                </c:pt>
                <c:pt idx="1201">
                  <c:v>44245</c:v>
                </c:pt>
                <c:pt idx="1202">
                  <c:v>44244</c:v>
                </c:pt>
                <c:pt idx="1203">
                  <c:v>44243</c:v>
                </c:pt>
                <c:pt idx="1204">
                  <c:v>44242</c:v>
                </c:pt>
                <c:pt idx="1205">
                  <c:v>44239</c:v>
                </c:pt>
                <c:pt idx="1206">
                  <c:v>44238</c:v>
                </c:pt>
                <c:pt idx="1207">
                  <c:v>44237</c:v>
                </c:pt>
                <c:pt idx="1208">
                  <c:v>44236</c:v>
                </c:pt>
                <c:pt idx="1209">
                  <c:v>44235</c:v>
                </c:pt>
                <c:pt idx="1210">
                  <c:v>44232</c:v>
                </c:pt>
                <c:pt idx="1211">
                  <c:v>44231</c:v>
                </c:pt>
                <c:pt idx="1212">
                  <c:v>44230</c:v>
                </c:pt>
                <c:pt idx="1213">
                  <c:v>44229</c:v>
                </c:pt>
                <c:pt idx="1214">
                  <c:v>44228</c:v>
                </c:pt>
                <c:pt idx="1215">
                  <c:v>44225</c:v>
                </c:pt>
                <c:pt idx="1216">
                  <c:v>44224</c:v>
                </c:pt>
                <c:pt idx="1217">
                  <c:v>44223</c:v>
                </c:pt>
                <c:pt idx="1218">
                  <c:v>44221</c:v>
                </c:pt>
                <c:pt idx="1219">
                  <c:v>44218</c:v>
                </c:pt>
                <c:pt idx="1220">
                  <c:v>44217</c:v>
                </c:pt>
                <c:pt idx="1221">
                  <c:v>44216</c:v>
                </c:pt>
                <c:pt idx="1222">
                  <c:v>44215</c:v>
                </c:pt>
                <c:pt idx="1223">
                  <c:v>44214</c:v>
                </c:pt>
                <c:pt idx="1224">
                  <c:v>44211</c:v>
                </c:pt>
                <c:pt idx="1225">
                  <c:v>44210</c:v>
                </c:pt>
                <c:pt idx="1226">
                  <c:v>44209</c:v>
                </c:pt>
                <c:pt idx="1227">
                  <c:v>44208</c:v>
                </c:pt>
                <c:pt idx="1228">
                  <c:v>44207</c:v>
                </c:pt>
                <c:pt idx="1229">
                  <c:v>44204</c:v>
                </c:pt>
                <c:pt idx="1230">
                  <c:v>44203</c:v>
                </c:pt>
                <c:pt idx="1231">
                  <c:v>44202</c:v>
                </c:pt>
                <c:pt idx="1232">
                  <c:v>44201</c:v>
                </c:pt>
                <c:pt idx="1233">
                  <c:v>44200</c:v>
                </c:pt>
                <c:pt idx="1234">
                  <c:v>44197</c:v>
                </c:pt>
                <c:pt idx="1235">
                  <c:v>44196</c:v>
                </c:pt>
                <c:pt idx="1236">
                  <c:v>44195</c:v>
                </c:pt>
                <c:pt idx="1237">
                  <c:v>44194</c:v>
                </c:pt>
                <c:pt idx="1238">
                  <c:v>44193</c:v>
                </c:pt>
              </c:numCache>
            </c:numRef>
          </c:cat>
          <c:val>
            <c:numRef>
              <c:f>'INPUT SHEET'!$E$4:$E$1242</c:f>
              <c:numCache>
                <c:formatCode>General</c:formatCode>
                <c:ptCount val="1239"/>
                <c:pt idx="0">
                  <c:v>2.920318</c:v>
                </c:pt>
                <c:pt idx="1">
                  <c:v>2.4058090000000001</c:v>
                </c:pt>
                <c:pt idx="2">
                  <c:v>5.0550470000000001</c:v>
                </c:pt>
                <c:pt idx="3">
                  <c:v>3.441592</c:v>
                </c:pt>
                <c:pt idx="4">
                  <c:v>5.1471809999999998</c:v>
                </c:pt>
                <c:pt idx="5">
                  <c:v>11.542047999999999</c:v>
                </c:pt>
                <c:pt idx="6">
                  <c:v>1.6344719999999999</c:v>
                </c:pt>
                <c:pt idx="7">
                  <c:v>2.2810779999999999</c:v>
                </c:pt>
                <c:pt idx="8">
                  <c:v>2.017404</c:v>
                </c:pt>
                <c:pt idx="9">
                  <c:v>2.9287459999999998</c:v>
                </c:pt>
                <c:pt idx="10">
                  <c:v>4.2392789999999998</c:v>
                </c:pt>
                <c:pt idx="11">
                  <c:v>2.9694780000000001</c:v>
                </c:pt>
                <c:pt idx="12">
                  <c:v>2.7282139999999999</c:v>
                </c:pt>
                <c:pt idx="13">
                  <c:v>3.2161080000000002</c:v>
                </c:pt>
                <c:pt idx="14">
                  <c:v>3.5827939999999998</c:v>
                </c:pt>
                <c:pt idx="15">
                  <c:v>8.1153469999999999</c:v>
                </c:pt>
                <c:pt idx="16">
                  <c:v>4.0980160000000003</c:v>
                </c:pt>
                <c:pt idx="17">
                  <c:v>3.0936360000000001</c:v>
                </c:pt>
                <c:pt idx="18">
                  <c:v>5.9247059999999996</c:v>
                </c:pt>
                <c:pt idx="19">
                  <c:v>4.8420209999999999</c:v>
                </c:pt>
                <c:pt idx="20">
                  <c:v>5.2901559999999996</c:v>
                </c:pt>
                <c:pt idx="21">
                  <c:v>10.491953000000001</c:v>
                </c:pt>
                <c:pt idx="22">
                  <c:v>6.3635929999999998</c:v>
                </c:pt>
                <c:pt idx="23">
                  <c:v>4.6175940000000004</c:v>
                </c:pt>
                <c:pt idx="24">
                  <c:v>4.1012880000000003</c:v>
                </c:pt>
                <c:pt idx="25">
                  <c:v>10.175969</c:v>
                </c:pt>
                <c:pt idx="26">
                  <c:v>4.0880260000000002</c:v>
                </c:pt>
                <c:pt idx="27">
                  <c:v>5.1977399999999996</c:v>
                </c:pt>
                <c:pt idx="28">
                  <c:v>3.3452310000000001</c:v>
                </c:pt>
                <c:pt idx="29">
                  <c:v>6.7825129999999998</c:v>
                </c:pt>
                <c:pt idx="30">
                  <c:v>5.6154529999999996</c:v>
                </c:pt>
                <c:pt idx="31">
                  <c:v>4.140568</c:v>
                </c:pt>
                <c:pt idx="32">
                  <c:v>3.4614660000000002</c:v>
                </c:pt>
                <c:pt idx="33">
                  <c:v>3.7337210000000001</c:v>
                </c:pt>
                <c:pt idx="34">
                  <c:v>3.2993450000000002</c:v>
                </c:pt>
                <c:pt idx="35">
                  <c:v>6.1189070000000001</c:v>
                </c:pt>
                <c:pt idx="36">
                  <c:v>4.1066070000000003</c:v>
                </c:pt>
                <c:pt idx="37">
                  <c:v>4.0175320000000001</c:v>
                </c:pt>
                <c:pt idx="38">
                  <c:v>4.5788250000000001</c:v>
                </c:pt>
                <c:pt idx="39">
                  <c:v>8.1467770000000002</c:v>
                </c:pt>
                <c:pt idx="40">
                  <c:v>6.1850719999999999</c:v>
                </c:pt>
                <c:pt idx="41">
                  <c:v>4.8820459999999999</c:v>
                </c:pt>
                <c:pt idx="42">
                  <c:v>14.611221</c:v>
                </c:pt>
                <c:pt idx="43">
                  <c:v>1.940248</c:v>
                </c:pt>
                <c:pt idx="44">
                  <c:v>7.4186160000000001</c:v>
                </c:pt>
                <c:pt idx="45">
                  <c:v>6.4044140000000001</c:v>
                </c:pt>
                <c:pt idx="46">
                  <c:v>17.747171000000002</c:v>
                </c:pt>
                <c:pt idx="47">
                  <c:v>6.3281419999999997</c:v>
                </c:pt>
                <c:pt idx="48">
                  <c:v>5.7425379999999997</c:v>
                </c:pt>
                <c:pt idx="49">
                  <c:v>4.1384480000000003</c:v>
                </c:pt>
                <c:pt idx="50">
                  <c:v>6.9330350000000003</c:v>
                </c:pt>
                <c:pt idx="51">
                  <c:v>7.1946510000000004</c:v>
                </c:pt>
                <c:pt idx="52">
                  <c:v>5.1604299999999999</c:v>
                </c:pt>
                <c:pt idx="53">
                  <c:v>8.6201559999999997</c:v>
                </c:pt>
                <c:pt idx="54">
                  <c:v>20.128505000000001</c:v>
                </c:pt>
                <c:pt idx="55">
                  <c:v>11.095015</c:v>
                </c:pt>
                <c:pt idx="56">
                  <c:v>9.6550089999999997</c:v>
                </c:pt>
                <c:pt idx="57">
                  <c:v>8.165203</c:v>
                </c:pt>
                <c:pt idx="58">
                  <c:v>9.6938809999999993</c:v>
                </c:pt>
                <c:pt idx="59">
                  <c:v>5.618932</c:v>
                </c:pt>
                <c:pt idx="60">
                  <c:v>11.188302</c:v>
                </c:pt>
                <c:pt idx="61">
                  <c:v>12.812055000000001</c:v>
                </c:pt>
                <c:pt idx="62">
                  <c:v>16.079093</c:v>
                </c:pt>
                <c:pt idx="63">
                  <c:v>7.6898999999999997</c:v>
                </c:pt>
                <c:pt idx="64">
                  <c:v>8.9107319999999994</c:v>
                </c:pt>
                <c:pt idx="65">
                  <c:v>5.7130320000000001</c:v>
                </c:pt>
                <c:pt idx="66">
                  <c:v>5.5907390000000001</c:v>
                </c:pt>
                <c:pt idx="67">
                  <c:v>7.9656060000000002</c:v>
                </c:pt>
                <c:pt idx="68">
                  <c:v>3.8818069999999998</c:v>
                </c:pt>
                <c:pt idx="69">
                  <c:v>6.01485</c:v>
                </c:pt>
                <c:pt idx="70">
                  <c:v>5.2275390000000002</c:v>
                </c:pt>
                <c:pt idx="71">
                  <c:v>5.2410750000000004</c:v>
                </c:pt>
                <c:pt idx="72">
                  <c:v>4.3104189999999996</c:v>
                </c:pt>
                <c:pt idx="73">
                  <c:v>2.2601469999999999</c:v>
                </c:pt>
                <c:pt idx="74">
                  <c:v>2.8495889999999999</c:v>
                </c:pt>
                <c:pt idx="75">
                  <c:v>8.0884169999999997</c:v>
                </c:pt>
                <c:pt idx="76">
                  <c:v>8.3032959999999996</c:v>
                </c:pt>
                <c:pt idx="77">
                  <c:v>4.933541</c:v>
                </c:pt>
                <c:pt idx="78">
                  <c:v>3.190426</c:v>
                </c:pt>
                <c:pt idx="79">
                  <c:v>4.7180160000000004</c:v>
                </c:pt>
                <c:pt idx="80">
                  <c:v>8.5648029999999995</c:v>
                </c:pt>
                <c:pt idx="81">
                  <c:v>7.1976659999999999</c:v>
                </c:pt>
                <c:pt idx="82">
                  <c:v>2.7112780000000001</c:v>
                </c:pt>
                <c:pt idx="83">
                  <c:v>3.8537180000000002</c:v>
                </c:pt>
                <c:pt idx="84">
                  <c:v>6.4592619999999998</c:v>
                </c:pt>
                <c:pt idx="85">
                  <c:v>3.0347279999999999</c:v>
                </c:pt>
                <c:pt idx="86">
                  <c:v>5.6615310000000001</c:v>
                </c:pt>
                <c:pt idx="87">
                  <c:v>7.9649869999999998</c:v>
                </c:pt>
                <c:pt idx="88">
                  <c:v>6.7613050000000001</c:v>
                </c:pt>
                <c:pt idx="89">
                  <c:v>4.9667779999999997</c:v>
                </c:pt>
                <c:pt idx="90">
                  <c:v>4.5730250000000003</c:v>
                </c:pt>
                <c:pt idx="91">
                  <c:v>5.4527749999999999</c:v>
                </c:pt>
                <c:pt idx="92">
                  <c:v>5.0849029999999997</c:v>
                </c:pt>
                <c:pt idx="93">
                  <c:v>5.3211310000000003</c:v>
                </c:pt>
                <c:pt idx="94">
                  <c:v>4.2166509999999997</c:v>
                </c:pt>
                <c:pt idx="95">
                  <c:v>5.3180810000000003</c:v>
                </c:pt>
                <c:pt idx="96">
                  <c:v>4.4658449999999998</c:v>
                </c:pt>
                <c:pt idx="97">
                  <c:v>5.5454470000000002</c:v>
                </c:pt>
                <c:pt idx="98">
                  <c:v>7.6344130000000003</c:v>
                </c:pt>
                <c:pt idx="99">
                  <c:v>8.2474329999999991</c:v>
                </c:pt>
                <c:pt idx="100">
                  <c:v>15.599773000000001</c:v>
                </c:pt>
                <c:pt idx="101">
                  <c:v>9.0295570000000005</c:v>
                </c:pt>
                <c:pt idx="102">
                  <c:v>11.779887</c:v>
                </c:pt>
                <c:pt idx="103">
                  <c:v>9.9012089999999997</c:v>
                </c:pt>
                <c:pt idx="104">
                  <c:v>6.6339790000000001</c:v>
                </c:pt>
                <c:pt idx="105">
                  <c:v>9.9999570000000002</c:v>
                </c:pt>
                <c:pt idx="106">
                  <c:v>15.9055</c:v>
                </c:pt>
                <c:pt idx="107">
                  <c:v>38.053694999999998</c:v>
                </c:pt>
                <c:pt idx="108">
                  <c:v>5.6944280000000003</c:v>
                </c:pt>
                <c:pt idx="109">
                  <c:v>4.3882789999999998</c:v>
                </c:pt>
                <c:pt idx="110">
                  <c:v>4.7767559999999998</c:v>
                </c:pt>
                <c:pt idx="111">
                  <c:v>4.7725020000000002</c:v>
                </c:pt>
                <c:pt idx="112">
                  <c:v>4.4686539999999999</c:v>
                </c:pt>
                <c:pt idx="113">
                  <c:v>4.3397550000000003</c:v>
                </c:pt>
                <c:pt idx="114">
                  <c:v>8.6747949999999996</c:v>
                </c:pt>
                <c:pt idx="115">
                  <c:v>9.9736189999999993</c:v>
                </c:pt>
                <c:pt idx="116">
                  <c:v>5.7834019999999997</c:v>
                </c:pt>
                <c:pt idx="117">
                  <c:v>3.926186</c:v>
                </c:pt>
                <c:pt idx="118">
                  <c:v>6.2371850000000002</c:v>
                </c:pt>
                <c:pt idx="119">
                  <c:v>5.4710999999999999</c:v>
                </c:pt>
                <c:pt idx="120">
                  <c:v>8.7021979999999992</c:v>
                </c:pt>
                <c:pt idx="121">
                  <c:v>6.5598720000000004</c:v>
                </c:pt>
                <c:pt idx="122">
                  <c:v>6.0682739999999997</c:v>
                </c:pt>
                <c:pt idx="123">
                  <c:v>8.6784479999999995</c:v>
                </c:pt>
                <c:pt idx="124">
                  <c:v>4.2292589999999999</c:v>
                </c:pt>
                <c:pt idx="125">
                  <c:v>6.7457880000000001</c:v>
                </c:pt>
                <c:pt idx="126">
                  <c:v>2.3124690000000001</c:v>
                </c:pt>
                <c:pt idx="127">
                  <c:v>4.6523899999999996</c:v>
                </c:pt>
                <c:pt idx="128">
                  <c:v>4.2437630000000004</c:v>
                </c:pt>
                <c:pt idx="129">
                  <c:v>3.1356619999999999</c:v>
                </c:pt>
                <c:pt idx="130">
                  <c:v>4.4929459999999999</c:v>
                </c:pt>
                <c:pt idx="131">
                  <c:v>5.6974239999999998</c:v>
                </c:pt>
                <c:pt idx="132">
                  <c:v>3.9068679999999998</c:v>
                </c:pt>
                <c:pt idx="133">
                  <c:v>3.4617439999999999</c:v>
                </c:pt>
                <c:pt idx="134">
                  <c:v>4.1357749999999998</c:v>
                </c:pt>
                <c:pt idx="135">
                  <c:v>7.7475579999999997</c:v>
                </c:pt>
                <c:pt idx="136">
                  <c:v>9.1381080000000008</c:v>
                </c:pt>
                <c:pt idx="137">
                  <c:v>14.715420999999999</c:v>
                </c:pt>
                <c:pt idx="138">
                  <c:v>10.4816</c:v>
                </c:pt>
                <c:pt idx="139">
                  <c:v>4.3063549999999999</c:v>
                </c:pt>
                <c:pt idx="140">
                  <c:v>8.1556650000000008</c:v>
                </c:pt>
                <c:pt idx="141">
                  <c:v>3.7618529999999999</c:v>
                </c:pt>
                <c:pt idx="142">
                  <c:v>9.998488</c:v>
                </c:pt>
                <c:pt idx="143">
                  <c:v>7.788068</c:v>
                </c:pt>
                <c:pt idx="144">
                  <c:v>3.5254210000000001</c:v>
                </c:pt>
                <c:pt idx="145">
                  <c:v>7.2491630000000002</c:v>
                </c:pt>
                <c:pt idx="146">
                  <c:v>3.607612</c:v>
                </c:pt>
                <c:pt idx="147">
                  <c:v>3.676469</c:v>
                </c:pt>
                <c:pt idx="148">
                  <c:v>4.7955829999999997</c:v>
                </c:pt>
                <c:pt idx="149">
                  <c:v>3.712472</c:v>
                </c:pt>
                <c:pt idx="150">
                  <c:v>4.7244820000000001</c:v>
                </c:pt>
                <c:pt idx="151">
                  <c:v>4.5500220000000002</c:v>
                </c:pt>
                <c:pt idx="152">
                  <c:v>4.0162690000000003</c:v>
                </c:pt>
                <c:pt idx="153">
                  <c:v>6.7057479999999998</c:v>
                </c:pt>
                <c:pt idx="154">
                  <c:v>4.0849209999999996</c:v>
                </c:pt>
                <c:pt idx="155">
                  <c:v>5.5699259999999997</c:v>
                </c:pt>
                <c:pt idx="156">
                  <c:v>7.6162080000000003</c:v>
                </c:pt>
                <c:pt idx="157">
                  <c:v>5.3795710000000003</c:v>
                </c:pt>
                <c:pt idx="158">
                  <c:v>9.9123470000000005</c:v>
                </c:pt>
                <c:pt idx="159">
                  <c:v>4.2638170000000004</c:v>
                </c:pt>
                <c:pt idx="160">
                  <c:v>5.3482669999999999</c:v>
                </c:pt>
                <c:pt idx="161">
                  <c:v>7.2360559999999996</c:v>
                </c:pt>
                <c:pt idx="162">
                  <c:v>6.5676779999999999</c:v>
                </c:pt>
                <c:pt idx="163">
                  <c:v>6.2882569999999998</c:v>
                </c:pt>
                <c:pt idx="164">
                  <c:v>6.0745199999999997</c:v>
                </c:pt>
                <c:pt idx="165">
                  <c:v>5.5235019999999997</c:v>
                </c:pt>
                <c:pt idx="166">
                  <c:v>17.243807</c:v>
                </c:pt>
                <c:pt idx="167">
                  <c:v>9.0781369999999999</c:v>
                </c:pt>
                <c:pt idx="168">
                  <c:v>9.4339110000000002</c:v>
                </c:pt>
                <c:pt idx="169">
                  <c:v>8.4617100000000001</c:v>
                </c:pt>
                <c:pt idx="170">
                  <c:v>15.16658</c:v>
                </c:pt>
                <c:pt idx="171">
                  <c:v>13.446336000000001</c:v>
                </c:pt>
                <c:pt idx="172">
                  <c:v>12.836428</c:v>
                </c:pt>
                <c:pt idx="173">
                  <c:v>9.3202990000000003</c:v>
                </c:pt>
                <c:pt idx="174">
                  <c:v>8.1440719999999995</c:v>
                </c:pt>
                <c:pt idx="175">
                  <c:v>6.6902010000000001</c:v>
                </c:pt>
                <c:pt idx="176">
                  <c:v>8.723357</c:v>
                </c:pt>
                <c:pt idx="177">
                  <c:v>9.7204569999999997</c:v>
                </c:pt>
                <c:pt idx="178">
                  <c:v>6.0599910000000001</c:v>
                </c:pt>
                <c:pt idx="179">
                  <c:v>5.3456599999999996</c:v>
                </c:pt>
                <c:pt idx="180">
                  <c:v>4.0653439999999996</c:v>
                </c:pt>
                <c:pt idx="181">
                  <c:v>6.6381399999999999</c:v>
                </c:pt>
                <c:pt idx="182">
                  <c:v>4.9211900000000002</c:v>
                </c:pt>
                <c:pt idx="183">
                  <c:v>8.5089170000000003</c:v>
                </c:pt>
                <c:pt idx="184">
                  <c:v>7.1270600000000002</c:v>
                </c:pt>
                <c:pt idx="185">
                  <c:v>11.720528</c:v>
                </c:pt>
                <c:pt idx="186">
                  <c:v>8.2848629999999996</c:v>
                </c:pt>
                <c:pt idx="187">
                  <c:v>6.8485649999999998</c:v>
                </c:pt>
                <c:pt idx="188">
                  <c:v>3.7426439999999999</c:v>
                </c:pt>
                <c:pt idx="189">
                  <c:v>4.8223649999999996</c:v>
                </c:pt>
                <c:pt idx="190">
                  <c:v>7.3659400000000002</c:v>
                </c:pt>
                <c:pt idx="191">
                  <c:v>5.9386679999999998</c:v>
                </c:pt>
                <c:pt idx="192">
                  <c:v>4.0041399999999996</c:v>
                </c:pt>
                <c:pt idx="193">
                  <c:v>7.504702</c:v>
                </c:pt>
                <c:pt idx="194">
                  <c:v>4.7710850000000002</c:v>
                </c:pt>
                <c:pt idx="195">
                  <c:v>5.9956550000000002</c:v>
                </c:pt>
                <c:pt idx="196">
                  <c:v>7.597321</c:v>
                </c:pt>
                <c:pt idx="197">
                  <c:v>7.8611199999999997</c:v>
                </c:pt>
                <c:pt idx="198">
                  <c:v>5.1338730000000004</c:v>
                </c:pt>
                <c:pt idx="199">
                  <c:v>5.7864199999999997</c:v>
                </c:pt>
                <c:pt idx="200">
                  <c:v>6.7631839999999999</c:v>
                </c:pt>
                <c:pt idx="201">
                  <c:v>15.026849</c:v>
                </c:pt>
                <c:pt idx="202">
                  <c:v>9.7776899999999998</c:v>
                </c:pt>
                <c:pt idx="203">
                  <c:v>5.7089749999999997</c:v>
                </c:pt>
                <c:pt idx="204">
                  <c:v>4.2654540000000001</c:v>
                </c:pt>
                <c:pt idx="205">
                  <c:v>5.0199369999999996</c:v>
                </c:pt>
                <c:pt idx="206">
                  <c:v>5.0112120000000004</c:v>
                </c:pt>
                <c:pt idx="207">
                  <c:v>6.4013809999999998</c:v>
                </c:pt>
                <c:pt idx="208">
                  <c:v>3.090004</c:v>
                </c:pt>
                <c:pt idx="209">
                  <c:v>7.1668029999999998</c:v>
                </c:pt>
                <c:pt idx="210">
                  <c:v>5.3757549999999998</c:v>
                </c:pt>
                <c:pt idx="211">
                  <c:v>6.3482459999999996</c:v>
                </c:pt>
                <c:pt idx="212">
                  <c:v>7.6692830000000001</c:v>
                </c:pt>
                <c:pt idx="213">
                  <c:v>4.8082149999999997</c:v>
                </c:pt>
                <c:pt idx="214">
                  <c:v>3.9605649999999999</c:v>
                </c:pt>
                <c:pt idx="215">
                  <c:v>8.6386509999999994</c:v>
                </c:pt>
                <c:pt idx="216">
                  <c:v>5.815563</c:v>
                </c:pt>
                <c:pt idx="217">
                  <c:v>7.8583730000000003</c:v>
                </c:pt>
                <c:pt idx="218">
                  <c:v>16.058171000000002</c:v>
                </c:pt>
                <c:pt idx="219">
                  <c:v>7.1246049999999999</c:v>
                </c:pt>
                <c:pt idx="220">
                  <c:v>4.8303909999999997</c:v>
                </c:pt>
                <c:pt idx="221">
                  <c:v>9.0363120000000006</c:v>
                </c:pt>
                <c:pt idx="222">
                  <c:v>10.473117999999999</c:v>
                </c:pt>
                <c:pt idx="223">
                  <c:v>11.175205999999999</c:v>
                </c:pt>
                <c:pt idx="224">
                  <c:v>21.781371</c:v>
                </c:pt>
                <c:pt idx="225">
                  <c:v>12.713296</c:v>
                </c:pt>
                <c:pt idx="226">
                  <c:v>14.421920999999999</c:v>
                </c:pt>
                <c:pt idx="227">
                  <c:v>24.649522000000001</c:v>
                </c:pt>
                <c:pt idx="228">
                  <c:v>17.303146000000002</c:v>
                </c:pt>
                <c:pt idx="229">
                  <c:v>11.894500000000001</c:v>
                </c:pt>
                <c:pt idx="230">
                  <c:v>33.440506999999997</c:v>
                </c:pt>
                <c:pt idx="231">
                  <c:v>33.831617000000001</c:v>
                </c:pt>
                <c:pt idx="232">
                  <c:v>10.261727</c:v>
                </c:pt>
                <c:pt idx="233">
                  <c:v>11.418721</c:v>
                </c:pt>
                <c:pt idx="234">
                  <c:v>6.8928969999999996</c:v>
                </c:pt>
                <c:pt idx="235">
                  <c:v>7.18093</c:v>
                </c:pt>
                <c:pt idx="236">
                  <c:v>5.6128859999999996</c:v>
                </c:pt>
                <c:pt idx="237">
                  <c:v>9.0541900000000002</c:v>
                </c:pt>
                <c:pt idx="238">
                  <c:v>8.7800980000000006</c:v>
                </c:pt>
                <c:pt idx="239">
                  <c:v>4.6194620000000004</c:v>
                </c:pt>
                <c:pt idx="240">
                  <c:v>5.2834130000000004</c:v>
                </c:pt>
                <c:pt idx="241">
                  <c:v>7.3572199999999999</c:v>
                </c:pt>
                <c:pt idx="242">
                  <c:v>6.5570760000000003</c:v>
                </c:pt>
                <c:pt idx="243">
                  <c:v>2.9853550000000002</c:v>
                </c:pt>
                <c:pt idx="244">
                  <c:v>5.2921360000000002</c:v>
                </c:pt>
                <c:pt idx="245">
                  <c:v>9.4521549999999994</c:v>
                </c:pt>
                <c:pt idx="246">
                  <c:v>3.8016670000000001</c:v>
                </c:pt>
                <c:pt idx="247">
                  <c:v>4.7754599999999998</c:v>
                </c:pt>
                <c:pt idx="248">
                  <c:v>4.3436940000000002</c:v>
                </c:pt>
                <c:pt idx="249">
                  <c:v>3.8869210000000001</c:v>
                </c:pt>
                <c:pt idx="250">
                  <c:v>12.623056</c:v>
                </c:pt>
                <c:pt idx="251">
                  <c:v>11.67761</c:v>
                </c:pt>
                <c:pt idx="252">
                  <c:v>7.2221270000000004</c:v>
                </c:pt>
                <c:pt idx="253">
                  <c:v>7.2928170000000003</c:v>
                </c:pt>
                <c:pt idx="254">
                  <c:v>3.9752019999999999</c:v>
                </c:pt>
                <c:pt idx="255">
                  <c:v>8.7316179999999992</c:v>
                </c:pt>
                <c:pt idx="256">
                  <c:v>4.8252829999999998</c:v>
                </c:pt>
                <c:pt idx="257">
                  <c:v>7.7882420000000003</c:v>
                </c:pt>
                <c:pt idx="258">
                  <c:v>4.7143889999999997</c:v>
                </c:pt>
                <c:pt idx="259">
                  <c:v>6.3081120000000004</c:v>
                </c:pt>
                <c:pt idx="260">
                  <c:v>7.5422099999999999</c:v>
                </c:pt>
                <c:pt idx="261">
                  <c:v>10.640451000000001</c:v>
                </c:pt>
                <c:pt idx="262">
                  <c:v>18.379798000000001</c:v>
                </c:pt>
                <c:pt idx="263">
                  <c:v>8.3820420000000002</c:v>
                </c:pt>
                <c:pt idx="264">
                  <c:v>4.7858580000000002</c:v>
                </c:pt>
                <c:pt idx="265">
                  <c:v>6.4062770000000002</c:v>
                </c:pt>
                <c:pt idx="266">
                  <c:v>10.731275</c:v>
                </c:pt>
                <c:pt idx="267">
                  <c:v>5.9899430000000002</c:v>
                </c:pt>
                <c:pt idx="268">
                  <c:v>5.1274369999999996</c:v>
                </c:pt>
                <c:pt idx="269">
                  <c:v>12.385823</c:v>
                </c:pt>
                <c:pt idx="270">
                  <c:v>16.687505000000002</c:v>
                </c:pt>
                <c:pt idx="271">
                  <c:v>8.1262480000000004</c:v>
                </c:pt>
                <c:pt idx="272">
                  <c:v>19.225966</c:v>
                </c:pt>
                <c:pt idx="273">
                  <c:v>9.474971</c:v>
                </c:pt>
                <c:pt idx="274">
                  <c:v>5.975873</c:v>
                </c:pt>
                <c:pt idx="275">
                  <c:v>8.0791129999999995</c:v>
                </c:pt>
                <c:pt idx="276">
                  <c:v>9.6060879999999997</c:v>
                </c:pt>
                <c:pt idx="277">
                  <c:v>6.6206779999999998</c:v>
                </c:pt>
                <c:pt idx="278">
                  <c:v>3.786168</c:v>
                </c:pt>
                <c:pt idx="279">
                  <c:v>6.2528889999999997</c:v>
                </c:pt>
                <c:pt idx="280">
                  <c:v>10.353505999999999</c:v>
                </c:pt>
                <c:pt idx="281">
                  <c:v>11.701048999999999</c:v>
                </c:pt>
                <c:pt idx="282">
                  <c:v>9.288653</c:v>
                </c:pt>
                <c:pt idx="283">
                  <c:v>0.460781</c:v>
                </c:pt>
                <c:pt idx="284">
                  <c:v>8.6822940000000006</c:v>
                </c:pt>
                <c:pt idx="285">
                  <c:v>9.6865600000000001</c:v>
                </c:pt>
                <c:pt idx="286">
                  <c:v>9.9089460000000003</c:v>
                </c:pt>
                <c:pt idx="287">
                  <c:v>8.5722430000000003</c:v>
                </c:pt>
                <c:pt idx="288">
                  <c:v>12.798716000000001</c:v>
                </c:pt>
                <c:pt idx="289">
                  <c:v>5.0467000000000004</c:v>
                </c:pt>
                <c:pt idx="290">
                  <c:v>6.5018339999999997</c:v>
                </c:pt>
                <c:pt idx="291">
                  <c:v>7.256246</c:v>
                </c:pt>
                <c:pt idx="292">
                  <c:v>7.4560380000000004</c:v>
                </c:pt>
                <c:pt idx="293">
                  <c:v>20.829666</c:v>
                </c:pt>
                <c:pt idx="294">
                  <c:v>6.5952310000000001</c:v>
                </c:pt>
                <c:pt idx="295">
                  <c:v>7.7398540000000002</c:v>
                </c:pt>
                <c:pt idx="296">
                  <c:v>8.7415160000000007</c:v>
                </c:pt>
                <c:pt idx="297">
                  <c:v>9.7652959999999993</c:v>
                </c:pt>
                <c:pt idx="298">
                  <c:v>4.7541580000000003</c:v>
                </c:pt>
                <c:pt idx="299">
                  <c:v>6.8062430000000003</c:v>
                </c:pt>
                <c:pt idx="300">
                  <c:v>9.807734</c:v>
                </c:pt>
                <c:pt idx="301">
                  <c:v>8.4645700000000001</c:v>
                </c:pt>
                <c:pt idx="302">
                  <c:v>20.047013</c:v>
                </c:pt>
                <c:pt idx="303">
                  <c:v>13.064515</c:v>
                </c:pt>
                <c:pt idx="304">
                  <c:v>17.300892000000001</c:v>
                </c:pt>
                <c:pt idx="305">
                  <c:v>11.16428</c:v>
                </c:pt>
                <c:pt idx="306">
                  <c:v>8.4669190000000008</c:v>
                </c:pt>
                <c:pt idx="307">
                  <c:v>13.372026999999999</c:v>
                </c:pt>
                <c:pt idx="308">
                  <c:v>7.2700779999999998</c:v>
                </c:pt>
                <c:pt idx="309">
                  <c:v>6.8533239999999997</c:v>
                </c:pt>
                <c:pt idx="310">
                  <c:v>9.2259460000000004</c:v>
                </c:pt>
                <c:pt idx="311">
                  <c:v>5.4628139999999998</c:v>
                </c:pt>
                <c:pt idx="312">
                  <c:v>15.009629</c:v>
                </c:pt>
                <c:pt idx="313">
                  <c:v>8.4498639999999998</c:v>
                </c:pt>
                <c:pt idx="314">
                  <c:v>8.2100340000000003</c:v>
                </c:pt>
                <c:pt idx="315">
                  <c:v>8.0304269999999995</c:v>
                </c:pt>
                <c:pt idx="316">
                  <c:v>4.0392840000000003</c:v>
                </c:pt>
                <c:pt idx="317">
                  <c:v>6.7625659999999996</c:v>
                </c:pt>
                <c:pt idx="318">
                  <c:v>7.5928709999999997</c:v>
                </c:pt>
                <c:pt idx="319">
                  <c:v>6.0003289999999998</c:v>
                </c:pt>
                <c:pt idx="320">
                  <c:v>8.7238539999999993</c:v>
                </c:pt>
                <c:pt idx="321">
                  <c:v>7.7009400000000001</c:v>
                </c:pt>
                <c:pt idx="322">
                  <c:v>9.8745759999999994</c:v>
                </c:pt>
                <c:pt idx="323">
                  <c:v>4.2347659999999996</c:v>
                </c:pt>
                <c:pt idx="324">
                  <c:v>6.5279410000000002</c:v>
                </c:pt>
                <c:pt idx="325">
                  <c:v>7.9202459999999997</c:v>
                </c:pt>
                <c:pt idx="326">
                  <c:v>6.4323620000000004</c:v>
                </c:pt>
                <c:pt idx="327">
                  <c:v>10.190505999999999</c:v>
                </c:pt>
                <c:pt idx="328">
                  <c:v>7.290114</c:v>
                </c:pt>
                <c:pt idx="329">
                  <c:v>5.4835029999999998</c:v>
                </c:pt>
                <c:pt idx="330">
                  <c:v>8.7021130000000007</c:v>
                </c:pt>
                <c:pt idx="331">
                  <c:v>3.3926120000000002</c:v>
                </c:pt>
                <c:pt idx="332">
                  <c:v>5.1219619999999999</c:v>
                </c:pt>
                <c:pt idx="333">
                  <c:v>5.8413259999999996</c:v>
                </c:pt>
                <c:pt idx="334">
                  <c:v>9.4806299999999997</c:v>
                </c:pt>
                <c:pt idx="335">
                  <c:v>6.721749</c:v>
                </c:pt>
                <c:pt idx="336">
                  <c:v>6.6918230000000003</c:v>
                </c:pt>
                <c:pt idx="337">
                  <c:v>6.1071340000000003</c:v>
                </c:pt>
                <c:pt idx="338">
                  <c:v>5.0218410000000002</c:v>
                </c:pt>
                <c:pt idx="339">
                  <c:v>6.1804629999999996</c:v>
                </c:pt>
                <c:pt idx="340">
                  <c:v>9.0783839999999998</c:v>
                </c:pt>
                <c:pt idx="341">
                  <c:v>6.262086</c:v>
                </c:pt>
                <c:pt idx="342">
                  <c:v>7.9034279999999999</c:v>
                </c:pt>
                <c:pt idx="343">
                  <c:v>8.3703120000000002</c:v>
                </c:pt>
                <c:pt idx="344">
                  <c:v>8.5711220000000008</c:v>
                </c:pt>
                <c:pt idx="345">
                  <c:v>12.013362000000001</c:v>
                </c:pt>
                <c:pt idx="346">
                  <c:v>10.581445</c:v>
                </c:pt>
                <c:pt idx="347">
                  <c:v>11.1905</c:v>
                </c:pt>
                <c:pt idx="348">
                  <c:v>17.347076000000001</c:v>
                </c:pt>
                <c:pt idx="349">
                  <c:v>18.090045</c:v>
                </c:pt>
                <c:pt idx="350">
                  <c:v>19.598572999999998</c:v>
                </c:pt>
                <c:pt idx="351">
                  <c:v>18.554648</c:v>
                </c:pt>
                <c:pt idx="352">
                  <c:v>32.979871000000003</c:v>
                </c:pt>
                <c:pt idx="353">
                  <c:v>10.344860000000001</c:v>
                </c:pt>
                <c:pt idx="354">
                  <c:v>8.7893270000000001</c:v>
                </c:pt>
                <c:pt idx="355">
                  <c:v>6.695557</c:v>
                </c:pt>
                <c:pt idx="356">
                  <c:v>4.4960659999999999</c:v>
                </c:pt>
                <c:pt idx="357">
                  <c:v>6.7875110000000003</c:v>
                </c:pt>
                <c:pt idx="358">
                  <c:v>5.4332640000000003</c:v>
                </c:pt>
                <c:pt idx="359">
                  <c:v>11.537127</c:v>
                </c:pt>
                <c:pt idx="360">
                  <c:v>11.278987000000001</c:v>
                </c:pt>
                <c:pt idx="361">
                  <c:v>7.848846</c:v>
                </c:pt>
                <c:pt idx="362">
                  <c:v>9.0204889999999995</c:v>
                </c:pt>
                <c:pt idx="363">
                  <c:v>6.9303400000000002</c:v>
                </c:pt>
                <c:pt idx="364">
                  <c:v>4.2169509999999999</c:v>
                </c:pt>
                <c:pt idx="365">
                  <c:v>8.5935020000000009</c:v>
                </c:pt>
                <c:pt idx="366">
                  <c:v>4.81738</c:v>
                </c:pt>
                <c:pt idx="367">
                  <c:v>15.171347000000001</c:v>
                </c:pt>
                <c:pt idx="368">
                  <c:v>9.9454469999999997</c:v>
                </c:pt>
                <c:pt idx="369">
                  <c:v>5.797015</c:v>
                </c:pt>
                <c:pt idx="370">
                  <c:v>7.1670689999999997</c:v>
                </c:pt>
                <c:pt idx="371">
                  <c:v>22.311392999999999</c:v>
                </c:pt>
                <c:pt idx="372">
                  <c:v>13.95637</c:v>
                </c:pt>
                <c:pt idx="373">
                  <c:v>17.607952000000001</c:v>
                </c:pt>
                <c:pt idx="374">
                  <c:v>6.6765299999999996</c:v>
                </c:pt>
                <c:pt idx="375">
                  <c:v>29.311313999999999</c:v>
                </c:pt>
                <c:pt idx="376">
                  <c:v>8.2068580000000004</c:v>
                </c:pt>
                <c:pt idx="377">
                  <c:v>17.987437</c:v>
                </c:pt>
                <c:pt idx="378">
                  <c:v>6.8371810000000002</c:v>
                </c:pt>
                <c:pt idx="379">
                  <c:v>4.4510310000000004</c:v>
                </c:pt>
                <c:pt idx="380">
                  <c:v>5.321148</c:v>
                </c:pt>
                <c:pt idx="381">
                  <c:v>7.1997179999999998</c:v>
                </c:pt>
                <c:pt idx="382">
                  <c:v>9.390212</c:v>
                </c:pt>
                <c:pt idx="383">
                  <c:v>9.9950569999999992</c:v>
                </c:pt>
                <c:pt idx="384">
                  <c:v>8.5839979999999994</c:v>
                </c:pt>
                <c:pt idx="385">
                  <c:v>12.006879</c:v>
                </c:pt>
                <c:pt idx="386">
                  <c:v>21.039498999999999</c:v>
                </c:pt>
                <c:pt idx="387">
                  <c:v>24.135988999999999</c:v>
                </c:pt>
                <c:pt idx="388">
                  <c:v>22.197338999999999</c:v>
                </c:pt>
                <c:pt idx="389">
                  <c:v>10.057642</c:v>
                </c:pt>
                <c:pt idx="390">
                  <c:v>7.2322170000000003</c:v>
                </c:pt>
                <c:pt idx="391">
                  <c:v>9.4180639999999993</c:v>
                </c:pt>
                <c:pt idx="392">
                  <c:v>4.0187759999999999</c:v>
                </c:pt>
                <c:pt idx="393">
                  <c:v>10.450046</c:v>
                </c:pt>
                <c:pt idx="394">
                  <c:v>8.814997</c:v>
                </c:pt>
                <c:pt idx="395">
                  <c:v>12.818080999999999</c:v>
                </c:pt>
                <c:pt idx="396">
                  <c:v>9.0940329999999996</c:v>
                </c:pt>
                <c:pt idx="397">
                  <c:v>8.1620170000000005</c:v>
                </c:pt>
                <c:pt idx="398">
                  <c:v>0.16975699999999999</c:v>
                </c:pt>
                <c:pt idx="399">
                  <c:v>9.909986</c:v>
                </c:pt>
                <c:pt idx="400">
                  <c:v>10.750526000000001</c:v>
                </c:pt>
                <c:pt idx="401">
                  <c:v>5.4363380000000001</c:v>
                </c:pt>
                <c:pt idx="402">
                  <c:v>5.4711429999999996</c:v>
                </c:pt>
                <c:pt idx="403">
                  <c:v>5.5131600000000001</c:v>
                </c:pt>
                <c:pt idx="404">
                  <c:v>7.242718</c:v>
                </c:pt>
                <c:pt idx="405">
                  <c:v>5.226693</c:v>
                </c:pt>
                <c:pt idx="406">
                  <c:v>8.1756089999999997</c:v>
                </c:pt>
                <c:pt idx="407">
                  <c:v>7.1155090000000003</c:v>
                </c:pt>
                <c:pt idx="408">
                  <c:v>7.4901039999999997</c:v>
                </c:pt>
                <c:pt idx="409">
                  <c:v>9.9936319999999998</c:v>
                </c:pt>
                <c:pt idx="410">
                  <c:v>12.302236000000001</c:v>
                </c:pt>
                <c:pt idx="411">
                  <c:v>18.965164000000001</c:v>
                </c:pt>
                <c:pt idx="412">
                  <c:v>15.183242</c:v>
                </c:pt>
                <c:pt idx="413">
                  <c:v>10.133766</c:v>
                </c:pt>
                <c:pt idx="414">
                  <c:v>46.136294999999997</c:v>
                </c:pt>
                <c:pt idx="415">
                  <c:v>5.6411629999999997</c:v>
                </c:pt>
                <c:pt idx="416">
                  <c:v>8.3000120000000006</c:v>
                </c:pt>
                <c:pt idx="417">
                  <c:v>9.4108319999999992</c:v>
                </c:pt>
                <c:pt idx="418">
                  <c:v>21.598006999999999</c:v>
                </c:pt>
                <c:pt idx="419">
                  <c:v>17.832438</c:v>
                </c:pt>
                <c:pt idx="420">
                  <c:v>7.1078809999999999</c:v>
                </c:pt>
                <c:pt idx="421">
                  <c:v>8.8894350000000006</c:v>
                </c:pt>
                <c:pt idx="422">
                  <c:v>18.045983</c:v>
                </c:pt>
                <c:pt idx="423">
                  <c:v>9.0640739999999997</c:v>
                </c:pt>
                <c:pt idx="424">
                  <c:v>11.385225999999999</c:v>
                </c:pt>
                <c:pt idx="425">
                  <c:v>4.9671859999999999</c:v>
                </c:pt>
                <c:pt idx="426">
                  <c:v>9.2101869999999995</c:v>
                </c:pt>
                <c:pt idx="427">
                  <c:v>17.964843999999999</c:v>
                </c:pt>
                <c:pt idx="428">
                  <c:v>11.573589999999999</c:v>
                </c:pt>
                <c:pt idx="429">
                  <c:v>13.617893</c:v>
                </c:pt>
                <c:pt idx="430">
                  <c:v>5.4845560000000004</c:v>
                </c:pt>
                <c:pt idx="431">
                  <c:v>10.235317999999999</c:v>
                </c:pt>
                <c:pt idx="432">
                  <c:v>17.027308000000001</c:v>
                </c:pt>
                <c:pt idx="433">
                  <c:v>9.6567670000000003</c:v>
                </c:pt>
                <c:pt idx="434">
                  <c:v>9.8911940000000005</c:v>
                </c:pt>
                <c:pt idx="435">
                  <c:v>9.9037380000000006</c:v>
                </c:pt>
                <c:pt idx="436">
                  <c:v>12.619643999999999</c:v>
                </c:pt>
                <c:pt idx="437">
                  <c:v>6.7288860000000001</c:v>
                </c:pt>
                <c:pt idx="438">
                  <c:v>7.6124070000000001</c:v>
                </c:pt>
                <c:pt idx="439">
                  <c:v>17.798175000000001</c:v>
                </c:pt>
                <c:pt idx="440">
                  <c:v>10.253613</c:v>
                </c:pt>
                <c:pt idx="441">
                  <c:v>11.50389</c:v>
                </c:pt>
                <c:pt idx="442">
                  <c:v>9.8171379999999999</c:v>
                </c:pt>
                <c:pt idx="443">
                  <c:v>6.7516410000000002</c:v>
                </c:pt>
                <c:pt idx="444">
                  <c:v>6.9438789999999999</c:v>
                </c:pt>
                <c:pt idx="445">
                  <c:v>13.787637999999999</c:v>
                </c:pt>
                <c:pt idx="446">
                  <c:v>4.8514460000000001</c:v>
                </c:pt>
                <c:pt idx="447">
                  <c:v>5.8954409999999999</c:v>
                </c:pt>
                <c:pt idx="448">
                  <c:v>0.25046499999999999</c:v>
                </c:pt>
                <c:pt idx="449">
                  <c:v>4.8193900000000003</c:v>
                </c:pt>
                <c:pt idx="450">
                  <c:v>13.648997</c:v>
                </c:pt>
                <c:pt idx="451">
                  <c:v>7.6431909999999998</c:v>
                </c:pt>
                <c:pt idx="452">
                  <c:v>6.5468149999999996</c:v>
                </c:pt>
                <c:pt idx="453">
                  <c:v>5.3541889999999999</c:v>
                </c:pt>
                <c:pt idx="454">
                  <c:v>6.2509430000000004</c:v>
                </c:pt>
                <c:pt idx="455">
                  <c:v>14.63334</c:v>
                </c:pt>
                <c:pt idx="456">
                  <c:v>9.1772130000000001</c:v>
                </c:pt>
                <c:pt idx="457">
                  <c:v>8.7227999999999994</c:v>
                </c:pt>
                <c:pt idx="458">
                  <c:v>7.5626449999999998</c:v>
                </c:pt>
                <c:pt idx="459">
                  <c:v>8.6609069999999999</c:v>
                </c:pt>
                <c:pt idx="460">
                  <c:v>11.780823</c:v>
                </c:pt>
                <c:pt idx="461">
                  <c:v>16.609114999999999</c:v>
                </c:pt>
                <c:pt idx="462">
                  <c:v>8.4136089999999992</c:v>
                </c:pt>
                <c:pt idx="463">
                  <c:v>8.6943789999999996</c:v>
                </c:pt>
                <c:pt idx="464">
                  <c:v>8.2334540000000001</c:v>
                </c:pt>
                <c:pt idx="465">
                  <c:v>9.8691410000000008</c:v>
                </c:pt>
                <c:pt idx="466">
                  <c:v>7.2817930000000004</c:v>
                </c:pt>
                <c:pt idx="467">
                  <c:v>8.0111709999999992</c:v>
                </c:pt>
                <c:pt idx="468">
                  <c:v>12.569454</c:v>
                </c:pt>
                <c:pt idx="469">
                  <c:v>8.6674150000000001</c:v>
                </c:pt>
                <c:pt idx="470">
                  <c:v>9.7566819999999996</c:v>
                </c:pt>
                <c:pt idx="471">
                  <c:v>12.600390000000001</c:v>
                </c:pt>
                <c:pt idx="472">
                  <c:v>9.4269829999999999</c:v>
                </c:pt>
                <c:pt idx="473">
                  <c:v>11.188604</c:v>
                </c:pt>
                <c:pt idx="474">
                  <c:v>20.835433999999999</c:v>
                </c:pt>
                <c:pt idx="475">
                  <c:v>20.884046000000001</c:v>
                </c:pt>
                <c:pt idx="476">
                  <c:v>18.924087</c:v>
                </c:pt>
                <c:pt idx="477">
                  <c:v>5.0555940000000001</c:v>
                </c:pt>
                <c:pt idx="478">
                  <c:v>12.303696</c:v>
                </c:pt>
                <c:pt idx="479">
                  <c:v>11.473134999999999</c:v>
                </c:pt>
                <c:pt idx="480">
                  <c:v>24.913719</c:v>
                </c:pt>
                <c:pt idx="481">
                  <c:v>5.2297529999999997</c:v>
                </c:pt>
                <c:pt idx="482">
                  <c:v>6.7190789999999998</c:v>
                </c:pt>
                <c:pt idx="483">
                  <c:v>5.6167550000000004</c:v>
                </c:pt>
                <c:pt idx="484">
                  <c:v>4.6830350000000003</c:v>
                </c:pt>
                <c:pt idx="485">
                  <c:v>5.9341629999999999</c:v>
                </c:pt>
                <c:pt idx="486">
                  <c:v>6.359362</c:v>
                </c:pt>
                <c:pt idx="487">
                  <c:v>4.735538</c:v>
                </c:pt>
                <c:pt idx="488">
                  <c:v>8.0254659999999998</c:v>
                </c:pt>
                <c:pt idx="489">
                  <c:v>11.411683</c:v>
                </c:pt>
                <c:pt idx="490">
                  <c:v>10.225289999999999</c:v>
                </c:pt>
                <c:pt idx="491">
                  <c:v>7.8955770000000003</c:v>
                </c:pt>
                <c:pt idx="492">
                  <c:v>4.0837320000000004</c:v>
                </c:pt>
                <c:pt idx="493">
                  <c:v>8.7867309999999996</c:v>
                </c:pt>
                <c:pt idx="494">
                  <c:v>14.097667</c:v>
                </c:pt>
                <c:pt idx="495">
                  <c:v>6.1329359999999999</c:v>
                </c:pt>
                <c:pt idx="496">
                  <c:v>5.6875169999999997</c:v>
                </c:pt>
                <c:pt idx="497">
                  <c:v>10.600025</c:v>
                </c:pt>
                <c:pt idx="498">
                  <c:v>10.914682000000001</c:v>
                </c:pt>
                <c:pt idx="499">
                  <c:v>9.8480570000000007</c:v>
                </c:pt>
                <c:pt idx="500">
                  <c:v>6.8246409999999997</c:v>
                </c:pt>
                <c:pt idx="501">
                  <c:v>7.9224680000000003</c:v>
                </c:pt>
                <c:pt idx="502">
                  <c:v>12.048410000000001</c:v>
                </c:pt>
                <c:pt idx="503">
                  <c:v>9.4211930000000006</c:v>
                </c:pt>
                <c:pt idx="504">
                  <c:v>8.1845230000000004</c:v>
                </c:pt>
                <c:pt idx="505">
                  <c:v>9.0441109999999991</c:v>
                </c:pt>
                <c:pt idx="506">
                  <c:v>6.9245890000000001</c:v>
                </c:pt>
                <c:pt idx="507">
                  <c:v>7.3009890000000004</c:v>
                </c:pt>
                <c:pt idx="508">
                  <c:v>6.439419</c:v>
                </c:pt>
                <c:pt idx="509">
                  <c:v>7.3427670000000003</c:v>
                </c:pt>
                <c:pt idx="510">
                  <c:v>15.804808</c:v>
                </c:pt>
                <c:pt idx="511">
                  <c:v>14.043213</c:v>
                </c:pt>
                <c:pt idx="512">
                  <c:v>14.428758</c:v>
                </c:pt>
                <c:pt idx="513">
                  <c:v>24.755589000000001</c:v>
                </c:pt>
                <c:pt idx="514">
                  <c:v>9.4223960000000009</c:v>
                </c:pt>
                <c:pt idx="515">
                  <c:v>6.1733840000000004</c:v>
                </c:pt>
                <c:pt idx="516">
                  <c:v>6.9562809999999997</c:v>
                </c:pt>
                <c:pt idx="517">
                  <c:v>3.1128909999999999</c:v>
                </c:pt>
                <c:pt idx="518">
                  <c:v>6.1039880000000002</c:v>
                </c:pt>
                <c:pt idx="519">
                  <c:v>7.0616139999999996</c:v>
                </c:pt>
                <c:pt idx="520">
                  <c:v>8.2156559999999992</c:v>
                </c:pt>
                <c:pt idx="521">
                  <c:v>13.268352999999999</c:v>
                </c:pt>
                <c:pt idx="522">
                  <c:v>6.9088250000000002</c:v>
                </c:pt>
                <c:pt idx="523">
                  <c:v>7.2403880000000003</c:v>
                </c:pt>
                <c:pt idx="524">
                  <c:v>5.9854810000000001</c:v>
                </c:pt>
                <c:pt idx="525">
                  <c:v>0.46183400000000002</c:v>
                </c:pt>
                <c:pt idx="526">
                  <c:v>3.294063</c:v>
                </c:pt>
                <c:pt idx="527">
                  <c:v>4.4079350000000002</c:v>
                </c:pt>
                <c:pt idx="528">
                  <c:v>7.6433140000000002</c:v>
                </c:pt>
                <c:pt idx="529">
                  <c:v>6.5598590000000003</c:v>
                </c:pt>
                <c:pt idx="530">
                  <c:v>6.5521779999999996</c:v>
                </c:pt>
                <c:pt idx="531">
                  <c:v>4.2680480000000003</c:v>
                </c:pt>
                <c:pt idx="532">
                  <c:v>5.1939820000000001</c:v>
                </c:pt>
                <c:pt idx="533">
                  <c:v>5.7039840000000002</c:v>
                </c:pt>
                <c:pt idx="534">
                  <c:v>7.8168049999999996</c:v>
                </c:pt>
                <c:pt idx="535">
                  <c:v>5.2705669999999998</c:v>
                </c:pt>
                <c:pt idx="536">
                  <c:v>13.443016</c:v>
                </c:pt>
                <c:pt idx="537">
                  <c:v>17.540495</c:v>
                </c:pt>
                <c:pt idx="538">
                  <c:v>6.9570480000000003</c:v>
                </c:pt>
                <c:pt idx="539">
                  <c:v>5.8966950000000002</c:v>
                </c:pt>
                <c:pt idx="540">
                  <c:v>5.6643999999999997</c:v>
                </c:pt>
                <c:pt idx="541">
                  <c:v>4.8366249999999997</c:v>
                </c:pt>
                <c:pt idx="542">
                  <c:v>7.8189460000000004</c:v>
                </c:pt>
                <c:pt idx="543">
                  <c:v>6.105067</c:v>
                </c:pt>
                <c:pt idx="544">
                  <c:v>4.64696</c:v>
                </c:pt>
                <c:pt idx="545">
                  <c:v>12.173162</c:v>
                </c:pt>
                <c:pt idx="546">
                  <c:v>4.9202219999999999</c:v>
                </c:pt>
                <c:pt idx="547">
                  <c:v>7.3967830000000001</c:v>
                </c:pt>
                <c:pt idx="548">
                  <c:v>5.7284990000000002</c:v>
                </c:pt>
                <c:pt idx="549">
                  <c:v>6.8232140000000001</c:v>
                </c:pt>
                <c:pt idx="550">
                  <c:v>5.2897530000000001</c:v>
                </c:pt>
                <c:pt idx="551">
                  <c:v>7.950412</c:v>
                </c:pt>
                <c:pt idx="552">
                  <c:v>22.584212000000001</c:v>
                </c:pt>
                <c:pt idx="553">
                  <c:v>11.589321999999999</c:v>
                </c:pt>
                <c:pt idx="554">
                  <c:v>9.5286259999999992</c:v>
                </c:pt>
                <c:pt idx="555">
                  <c:v>15.818489</c:v>
                </c:pt>
                <c:pt idx="556">
                  <c:v>5.1586860000000003</c:v>
                </c:pt>
                <c:pt idx="557">
                  <c:v>6.3876150000000003</c:v>
                </c:pt>
                <c:pt idx="558">
                  <c:v>7.1238900000000003</c:v>
                </c:pt>
                <c:pt idx="559">
                  <c:v>7.1081099999999999</c:v>
                </c:pt>
                <c:pt idx="560">
                  <c:v>8.1565879999999993</c:v>
                </c:pt>
                <c:pt idx="561">
                  <c:v>13.619788</c:v>
                </c:pt>
                <c:pt idx="562">
                  <c:v>6.3973190000000004</c:v>
                </c:pt>
                <c:pt idx="563">
                  <c:v>8.9861570000000004</c:v>
                </c:pt>
                <c:pt idx="564">
                  <c:v>7.8555580000000003</c:v>
                </c:pt>
                <c:pt idx="565">
                  <c:v>12.254422999999999</c:v>
                </c:pt>
                <c:pt idx="566">
                  <c:v>8.9583270000000006</c:v>
                </c:pt>
                <c:pt idx="567">
                  <c:v>7.130484</c:v>
                </c:pt>
                <c:pt idx="568">
                  <c:v>6.4393510000000003</c:v>
                </c:pt>
                <c:pt idx="569">
                  <c:v>8.6865500000000004</c:v>
                </c:pt>
                <c:pt idx="570">
                  <c:v>16.351051999999999</c:v>
                </c:pt>
                <c:pt idx="571">
                  <c:v>10.54866</c:v>
                </c:pt>
                <c:pt idx="572">
                  <c:v>6.7271879999999999</c:v>
                </c:pt>
                <c:pt idx="573">
                  <c:v>10.946742</c:v>
                </c:pt>
                <c:pt idx="574">
                  <c:v>21.558299999999999</c:v>
                </c:pt>
                <c:pt idx="575">
                  <c:v>9.0230829999999997</c:v>
                </c:pt>
                <c:pt idx="576">
                  <c:v>8.114141</c:v>
                </c:pt>
                <c:pt idx="577">
                  <c:v>8.4514410000000009</c:v>
                </c:pt>
                <c:pt idx="578">
                  <c:v>6.2282409999999997</c:v>
                </c:pt>
                <c:pt idx="579">
                  <c:v>11.899556</c:v>
                </c:pt>
                <c:pt idx="580">
                  <c:v>12.677151</c:v>
                </c:pt>
                <c:pt idx="581">
                  <c:v>10.860061</c:v>
                </c:pt>
                <c:pt idx="582">
                  <c:v>6.8221550000000004</c:v>
                </c:pt>
                <c:pt idx="583">
                  <c:v>6.6487439999999998</c:v>
                </c:pt>
                <c:pt idx="584">
                  <c:v>9.3369940000000007</c:v>
                </c:pt>
                <c:pt idx="585">
                  <c:v>7.3946230000000002</c:v>
                </c:pt>
                <c:pt idx="586">
                  <c:v>7.1725219999999998</c:v>
                </c:pt>
                <c:pt idx="587">
                  <c:v>9.5582370000000001</c:v>
                </c:pt>
                <c:pt idx="588">
                  <c:v>13.590890999999999</c:v>
                </c:pt>
                <c:pt idx="589">
                  <c:v>7.7018310000000003</c:v>
                </c:pt>
                <c:pt idx="590">
                  <c:v>11.512734999999999</c:v>
                </c:pt>
                <c:pt idx="591">
                  <c:v>10.922609</c:v>
                </c:pt>
                <c:pt idx="592">
                  <c:v>12.376086000000001</c:v>
                </c:pt>
                <c:pt idx="593">
                  <c:v>17.076611</c:v>
                </c:pt>
                <c:pt idx="594">
                  <c:v>9.324465</c:v>
                </c:pt>
                <c:pt idx="595">
                  <c:v>8.4090959999999999</c:v>
                </c:pt>
                <c:pt idx="596">
                  <c:v>6.6019909999999999</c:v>
                </c:pt>
                <c:pt idx="597">
                  <c:v>8.5043919999999993</c:v>
                </c:pt>
                <c:pt idx="598">
                  <c:v>17.858060999999999</c:v>
                </c:pt>
                <c:pt idx="599">
                  <c:v>8.2982259999999997</c:v>
                </c:pt>
                <c:pt idx="600">
                  <c:v>13.448045</c:v>
                </c:pt>
                <c:pt idx="601">
                  <c:v>9.1677879999999998</c:v>
                </c:pt>
                <c:pt idx="602">
                  <c:v>6.2303170000000003</c:v>
                </c:pt>
                <c:pt idx="603">
                  <c:v>15.329753</c:v>
                </c:pt>
                <c:pt idx="604">
                  <c:v>7.5745440000000004</c:v>
                </c:pt>
                <c:pt idx="605">
                  <c:v>14.457717000000001</c:v>
                </c:pt>
                <c:pt idx="606">
                  <c:v>8.4724439999999994</c:v>
                </c:pt>
                <c:pt idx="607">
                  <c:v>5.3835139999999999</c:v>
                </c:pt>
                <c:pt idx="608">
                  <c:v>13.079929999999999</c:v>
                </c:pt>
                <c:pt idx="609">
                  <c:v>10.141257</c:v>
                </c:pt>
                <c:pt idx="610">
                  <c:v>10.616390000000001</c:v>
                </c:pt>
                <c:pt idx="611">
                  <c:v>7.1388499999999997</c:v>
                </c:pt>
                <c:pt idx="612">
                  <c:v>6.2365240000000002</c:v>
                </c:pt>
                <c:pt idx="613">
                  <c:v>10.221727</c:v>
                </c:pt>
                <c:pt idx="614">
                  <c:v>8.2000469999999996</c:v>
                </c:pt>
                <c:pt idx="615">
                  <c:v>7.3968059999999998</c:v>
                </c:pt>
                <c:pt idx="616">
                  <c:v>5.5627430000000002</c:v>
                </c:pt>
                <c:pt idx="617">
                  <c:v>7.0963500000000002</c:v>
                </c:pt>
                <c:pt idx="618">
                  <c:v>10.010996</c:v>
                </c:pt>
                <c:pt idx="619">
                  <c:v>6.9218859999999998</c:v>
                </c:pt>
                <c:pt idx="620">
                  <c:v>5.7995279999999996</c:v>
                </c:pt>
                <c:pt idx="621">
                  <c:v>6.188008</c:v>
                </c:pt>
                <c:pt idx="622">
                  <c:v>10.135883</c:v>
                </c:pt>
                <c:pt idx="623">
                  <c:v>7.8058550000000002</c:v>
                </c:pt>
                <c:pt idx="624">
                  <c:v>7.5965930000000004</c:v>
                </c:pt>
                <c:pt idx="625">
                  <c:v>11.025846</c:v>
                </c:pt>
                <c:pt idx="626">
                  <c:v>8.8609000000000009</c:v>
                </c:pt>
                <c:pt idx="627">
                  <c:v>15.978311</c:v>
                </c:pt>
                <c:pt idx="628">
                  <c:v>8.6444229999999997</c:v>
                </c:pt>
                <c:pt idx="629">
                  <c:v>15.233784999999999</c:v>
                </c:pt>
                <c:pt idx="630">
                  <c:v>7.4653749999999999</c:v>
                </c:pt>
                <c:pt idx="631">
                  <c:v>12.947464</c:v>
                </c:pt>
                <c:pt idx="632">
                  <c:v>10.209982</c:v>
                </c:pt>
                <c:pt idx="633">
                  <c:v>15.795824</c:v>
                </c:pt>
                <c:pt idx="634">
                  <c:v>14.457988</c:v>
                </c:pt>
                <c:pt idx="635">
                  <c:v>14.520004999999999</c:v>
                </c:pt>
                <c:pt idx="636">
                  <c:v>11.616991000000001</c:v>
                </c:pt>
                <c:pt idx="637">
                  <c:v>11.817532999999999</c:v>
                </c:pt>
                <c:pt idx="638">
                  <c:v>34.757004000000002</c:v>
                </c:pt>
                <c:pt idx="639">
                  <c:v>7.8044029999999998</c:v>
                </c:pt>
                <c:pt idx="640">
                  <c:v>7.1338710000000001</c:v>
                </c:pt>
                <c:pt idx="641">
                  <c:v>4.9084620000000001</c:v>
                </c:pt>
                <c:pt idx="642">
                  <c:v>8.1493500000000001</c:v>
                </c:pt>
                <c:pt idx="643">
                  <c:v>6.248545</c:v>
                </c:pt>
                <c:pt idx="644">
                  <c:v>8.2734450000000006</c:v>
                </c:pt>
                <c:pt idx="645">
                  <c:v>9.3831579999999999</c:v>
                </c:pt>
                <c:pt idx="646">
                  <c:v>8.3930019999999992</c:v>
                </c:pt>
                <c:pt idx="647">
                  <c:v>13.614127</c:v>
                </c:pt>
                <c:pt idx="648">
                  <c:v>10.248327</c:v>
                </c:pt>
                <c:pt idx="649">
                  <c:v>12.567615</c:v>
                </c:pt>
                <c:pt idx="650">
                  <c:v>7.3395789999999996</c:v>
                </c:pt>
                <c:pt idx="651">
                  <c:v>10.533272</c:v>
                </c:pt>
                <c:pt idx="652">
                  <c:v>13.816121000000001</c:v>
                </c:pt>
                <c:pt idx="653">
                  <c:v>11.893027</c:v>
                </c:pt>
                <c:pt idx="654">
                  <c:v>12.117151</c:v>
                </c:pt>
                <c:pt idx="655">
                  <c:v>7.0078820000000004</c:v>
                </c:pt>
                <c:pt idx="656">
                  <c:v>14.343308</c:v>
                </c:pt>
                <c:pt idx="657">
                  <c:v>9.7563910000000007</c:v>
                </c:pt>
                <c:pt idx="658">
                  <c:v>15.103014999999999</c:v>
                </c:pt>
                <c:pt idx="659">
                  <c:v>12.947953</c:v>
                </c:pt>
                <c:pt idx="660">
                  <c:v>23.004117000000001</c:v>
                </c:pt>
                <c:pt idx="661">
                  <c:v>15.992383</c:v>
                </c:pt>
                <c:pt idx="662">
                  <c:v>19.468723000000001</c:v>
                </c:pt>
                <c:pt idx="663">
                  <c:v>36.394388999999997</c:v>
                </c:pt>
                <c:pt idx="664">
                  <c:v>18.201632</c:v>
                </c:pt>
                <c:pt idx="665">
                  <c:v>15.520785999999999</c:v>
                </c:pt>
                <c:pt idx="666">
                  <c:v>19.444752999999999</c:v>
                </c:pt>
                <c:pt idx="667">
                  <c:v>23.494247000000001</c:v>
                </c:pt>
                <c:pt idx="668">
                  <c:v>17.238709</c:v>
                </c:pt>
                <c:pt idx="669">
                  <c:v>22.577380000000002</c:v>
                </c:pt>
                <c:pt idx="670">
                  <c:v>23.934570000000001</c:v>
                </c:pt>
                <c:pt idx="671">
                  <c:v>13.480335</c:v>
                </c:pt>
                <c:pt idx="672">
                  <c:v>23.930907000000001</c:v>
                </c:pt>
                <c:pt idx="673">
                  <c:v>15.656078000000001</c:v>
                </c:pt>
                <c:pt idx="674">
                  <c:v>19.677316000000001</c:v>
                </c:pt>
                <c:pt idx="675">
                  <c:v>11.890015</c:v>
                </c:pt>
                <c:pt idx="676">
                  <c:v>13.266882000000001</c:v>
                </c:pt>
                <c:pt idx="677">
                  <c:v>12.946752</c:v>
                </c:pt>
                <c:pt idx="678">
                  <c:v>17.121193999999999</c:v>
                </c:pt>
                <c:pt idx="679">
                  <c:v>11.002402</c:v>
                </c:pt>
                <c:pt idx="680">
                  <c:v>10.602508</c:v>
                </c:pt>
                <c:pt idx="681">
                  <c:v>8.0787180000000003</c:v>
                </c:pt>
                <c:pt idx="682">
                  <c:v>9.8578919999999997</c:v>
                </c:pt>
                <c:pt idx="683">
                  <c:v>8.0189240000000002</c:v>
                </c:pt>
                <c:pt idx="684">
                  <c:v>11.489951</c:v>
                </c:pt>
                <c:pt idx="685">
                  <c:v>10.744023</c:v>
                </c:pt>
                <c:pt idx="686">
                  <c:v>7.7624610000000001</c:v>
                </c:pt>
                <c:pt idx="687">
                  <c:v>8.7913829999999997</c:v>
                </c:pt>
                <c:pt idx="688">
                  <c:v>6.652641</c:v>
                </c:pt>
                <c:pt idx="689">
                  <c:v>12.573734</c:v>
                </c:pt>
                <c:pt idx="690">
                  <c:v>8.3157979999999991</c:v>
                </c:pt>
                <c:pt idx="691">
                  <c:v>11.198582999999999</c:v>
                </c:pt>
                <c:pt idx="692">
                  <c:v>14.746065</c:v>
                </c:pt>
                <c:pt idx="693">
                  <c:v>8.7857350000000007</c:v>
                </c:pt>
                <c:pt idx="694">
                  <c:v>10.781567000000001</c:v>
                </c:pt>
                <c:pt idx="695">
                  <c:v>7.9778039999999999</c:v>
                </c:pt>
                <c:pt idx="696">
                  <c:v>13.900508</c:v>
                </c:pt>
                <c:pt idx="697">
                  <c:v>12.345124999999999</c:v>
                </c:pt>
                <c:pt idx="698">
                  <c:v>13.012371999999999</c:v>
                </c:pt>
                <c:pt idx="699">
                  <c:v>8.0642669999999992</c:v>
                </c:pt>
                <c:pt idx="700">
                  <c:v>7.763814</c:v>
                </c:pt>
                <c:pt idx="701">
                  <c:v>8.4370030000000007</c:v>
                </c:pt>
                <c:pt idx="702">
                  <c:v>6.9840369999999998</c:v>
                </c:pt>
                <c:pt idx="703">
                  <c:v>9.6770639999999997</c:v>
                </c:pt>
                <c:pt idx="704">
                  <c:v>5.9923219999999997</c:v>
                </c:pt>
                <c:pt idx="705">
                  <c:v>8.4204790000000003</c:v>
                </c:pt>
                <c:pt idx="706">
                  <c:v>5.843235</c:v>
                </c:pt>
                <c:pt idx="707">
                  <c:v>7.3222659999999999</c:v>
                </c:pt>
                <c:pt idx="708">
                  <c:v>7.527755</c:v>
                </c:pt>
                <c:pt idx="709">
                  <c:v>5.7071940000000003</c:v>
                </c:pt>
                <c:pt idx="710">
                  <c:v>4.6034639999999998</c:v>
                </c:pt>
                <c:pt idx="711">
                  <c:v>5.9933120000000004</c:v>
                </c:pt>
                <c:pt idx="712">
                  <c:v>6.5728179999999998</c:v>
                </c:pt>
                <c:pt idx="713">
                  <c:v>5.0551870000000001</c:v>
                </c:pt>
                <c:pt idx="714">
                  <c:v>10.129098000000001</c:v>
                </c:pt>
                <c:pt idx="715">
                  <c:v>7.3657320000000004</c:v>
                </c:pt>
                <c:pt idx="716">
                  <c:v>9.5670529999999996</c:v>
                </c:pt>
                <c:pt idx="717">
                  <c:v>12.409819000000001</c:v>
                </c:pt>
                <c:pt idx="718">
                  <c:v>16.856151000000001</c:v>
                </c:pt>
                <c:pt idx="719">
                  <c:v>21.233998</c:v>
                </c:pt>
                <c:pt idx="720">
                  <c:v>17.300736000000001</c:v>
                </c:pt>
                <c:pt idx="721">
                  <c:v>11.921747999999999</c:v>
                </c:pt>
                <c:pt idx="722">
                  <c:v>18.527896999999999</c:v>
                </c:pt>
                <c:pt idx="723">
                  <c:v>5.2361240000000002</c:v>
                </c:pt>
                <c:pt idx="724">
                  <c:v>4.5113599999999998</c:v>
                </c:pt>
                <c:pt idx="725">
                  <c:v>7.72173</c:v>
                </c:pt>
                <c:pt idx="726">
                  <c:v>5.7309390000000002</c:v>
                </c:pt>
                <c:pt idx="727">
                  <c:v>6.90496</c:v>
                </c:pt>
                <c:pt idx="728">
                  <c:v>10.008273000000001</c:v>
                </c:pt>
                <c:pt idx="729">
                  <c:v>9.0836079999999999</c:v>
                </c:pt>
                <c:pt idx="730">
                  <c:v>8.6613749999999996</c:v>
                </c:pt>
                <c:pt idx="731">
                  <c:v>7.1003550000000004</c:v>
                </c:pt>
                <c:pt idx="732">
                  <c:v>7.1401500000000002</c:v>
                </c:pt>
                <c:pt idx="733">
                  <c:v>7.025747</c:v>
                </c:pt>
                <c:pt idx="734">
                  <c:v>5.7877830000000001</c:v>
                </c:pt>
                <c:pt idx="735">
                  <c:v>6.9989800000000004</c:v>
                </c:pt>
                <c:pt idx="736">
                  <c:v>9.0593920000000008</c:v>
                </c:pt>
                <c:pt idx="737">
                  <c:v>6.9278190000000004</c:v>
                </c:pt>
                <c:pt idx="738">
                  <c:v>3.4981979999999999</c:v>
                </c:pt>
                <c:pt idx="739">
                  <c:v>3.7044489999999999</c:v>
                </c:pt>
                <c:pt idx="740">
                  <c:v>12.204113</c:v>
                </c:pt>
                <c:pt idx="741">
                  <c:v>5.9564959999999996</c:v>
                </c:pt>
                <c:pt idx="742">
                  <c:v>3.3460830000000001</c:v>
                </c:pt>
                <c:pt idx="743">
                  <c:v>4.7644399999999996</c:v>
                </c:pt>
                <c:pt idx="744">
                  <c:v>6.3716949999999999</c:v>
                </c:pt>
                <c:pt idx="745">
                  <c:v>9.2027169999999998</c:v>
                </c:pt>
                <c:pt idx="746">
                  <c:v>8.3689599999999995</c:v>
                </c:pt>
                <c:pt idx="747">
                  <c:v>9.5118179999999999</c:v>
                </c:pt>
                <c:pt idx="748">
                  <c:v>4.8423360000000004</c:v>
                </c:pt>
                <c:pt idx="749">
                  <c:v>6.9269280000000002</c:v>
                </c:pt>
                <c:pt idx="750">
                  <c:v>7.3592610000000001</c:v>
                </c:pt>
                <c:pt idx="751">
                  <c:v>8.5734790000000007</c:v>
                </c:pt>
                <c:pt idx="752">
                  <c:v>8.1365590000000001</c:v>
                </c:pt>
                <c:pt idx="753">
                  <c:v>7.6217879999999996</c:v>
                </c:pt>
                <c:pt idx="754">
                  <c:v>8.0189810000000001</c:v>
                </c:pt>
                <c:pt idx="755">
                  <c:v>17.466047</c:v>
                </c:pt>
                <c:pt idx="756">
                  <c:v>9.1036560000000009</c:v>
                </c:pt>
                <c:pt idx="757">
                  <c:v>5.3510989999999996</c:v>
                </c:pt>
                <c:pt idx="758">
                  <c:v>5.0981639999999997</c:v>
                </c:pt>
                <c:pt idx="759">
                  <c:v>7.9888510000000004</c:v>
                </c:pt>
                <c:pt idx="760">
                  <c:v>7.0530999999999997</c:v>
                </c:pt>
                <c:pt idx="761">
                  <c:v>10.452798</c:v>
                </c:pt>
                <c:pt idx="762">
                  <c:v>5.6611580000000004</c:v>
                </c:pt>
                <c:pt idx="763">
                  <c:v>7.9281470000000001</c:v>
                </c:pt>
                <c:pt idx="764">
                  <c:v>7.6140470000000002</c:v>
                </c:pt>
                <c:pt idx="765">
                  <c:v>4.9287780000000003</c:v>
                </c:pt>
                <c:pt idx="766">
                  <c:v>5.8614170000000003</c:v>
                </c:pt>
                <c:pt idx="767">
                  <c:v>5.5352329999999998</c:v>
                </c:pt>
                <c:pt idx="768">
                  <c:v>7.2092070000000001</c:v>
                </c:pt>
                <c:pt idx="769">
                  <c:v>7.0653040000000003</c:v>
                </c:pt>
                <c:pt idx="770">
                  <c:v>4.9096070000000003</c:v>
                </c:pt>
                <c:pt idx="771">
                  <c:v>6.5218540000000003</c:v>
                </c:pt>
                <c:pt idx="772">
                  <c:v>7.1247670000000003</c:v>
                </c:pt>
                <c:pt idx="773">
                  <c:v>6.9853059999999996</c:v>
                </c:pt>
                <c:pt idx="774">
                  <c:v>19.329819000000001</c:v>
                </c:pt>
                <c:pt idx="775">
                  <c:v>18.956575000000001</c:v>
                </c:pt>
                <c:pt idx="776">
                  <c:v>10.190208999999999</c:v>
                </c:pt>
                <c:pt idx="777">
                  <c:v>9.9312609999999992</c:v>
                </c:pt>
                <c:pt idx="778">
                  <c:v>7.3238789999999998</c:v>
                </c:pt>
                <c:pt idx="779">
                  <c:v>10.185978</c:v>
                </c:pt>
                <c:pt idx="780">
                  <c:v>11.02914</c:v>
                </c:pt>
                <c:pt idx="781">
                  <c:v>29.191921000000001</c:v>
                </c:pt>
                <c:pt idx="782">
                  <c:v>9.0387769999999996</c:v>
                </c:pt>
                <c:pt idx="783">
                  <c:v>7.3202069999999999</c:v>
                </c:pt>
                <c:pt idx="784">
                  <c:v>11.967044</c:v>
                </c:pt>
                <c:pt idx="785">
                  <c:v>13.187308</c:v>
                </c:pt>
                <c:pt idx="786">
                  <c:v>3.0853069999999998</c:v>
                </c:pt>
                <c:pt idx="787">
                  <c:v>58.057724</c:v>
                </c:pt>
                <c:pt idx="788">
                  <c:v>11.813817</c:v>
                </c:pt>
                <c:pt idx="789">
                  <c:v>10.868663</c:v>
                </c:pt>
                <c:pt idx="790">
                  <c:v>8.4708819999999996</c:v>
                </c:pt>
                <c:pt idx="791">
                  <c:v>9.4638270000000002</c:v>
                </c:pt>
                <c:pt idx="792">
                  <c:v>8.2206449999999993</c:v>
                </c:pt>
                <c:pt idx="793">
                  <c:v>13.024910999999999</c:v>
                </c:pt>
                <c:pt idx="794">
                  <c:v>21.228017999999999</c:v>
                </c:pt>
                <c:pt idx="795">
                  <c:v>15.953495</c:v>
                </c:pt>
                <c:pt idx="796">
                  <c:v>14.106654000000001</c:v>
                </c:pt>
                <c:pt idx="797">
                  <c:v>7.50054</c:v>
                </c:pt>
                <c:pt idx="798">
                  <c:v>9.3764330000000005</c:v>
                </c:pt>
                <c:pt idx="799">
                  <c:v>5.4389339999999997</c:v>
                </c:pt>
                <c:pt idx="800">
                  <c:v>6.4056449999999998</c:v>
                </c:pt>
                <c:pt idx="801">
                  <c:v>9.5360169999999993</c:v>
                </c:pt>
                <c:pt idx="802">
                  <c:v>12.090980999999999</c:v>
                </c:pt>
                <c:pt idx="803">
                  <c:v>13.170667999999999</c:v>
                </c:pt>
                <c:pt idx="804">
                  <c:v>11.358306000000001</c:v>
                </c:pt>
                <c:pt idx="805">
                  <c:v>11.090327</c:v>
                </c:pt>
                <c:pt idx="806">
                  <c:v>10.278805</c:v>
                </c:pt>
                <c:pt idx="807">
                  <c:v>7.8042749999999996</c:v>
                </c:pt>
                <c:pt idx="808">
                  <c:v>6.5670840000000004</c:v>
                </c:pt>
                <c:pt idx="809">
                  <c:v>8.2740790000000004</c:v>
                </c:pt>
                <c:pt idx="810">
                  <c:v>11.427799</c:v>
                </c:pt>
                <c:pt idx="811">
                  <c:v>11.467351000000001</c:v>
                </c:pt>
                <c:pt idx="812">
                  <c:v>5.996899</c:v>
                </c:pt>
                <c:pt idx="813">
                  <c:v>10.494713000000001</c:v>
                </c:pt>
                <c:pt idx="814">
                  <c:v>9.8875159999999997</c:v>
                </c:pt>
                <c:pt idx="815">
                  <c:v>15.521649</c:v>
                </c:pt>
                <c:pt idx="816">
                  <c:v>8.7323020000000007</c:v>
                </c:pt>
                <c:pt idx="817">
                  <c:v>13.41079</c:v>
                </c:pt>
                <c:pt idx="818">
                  <c:v>10.156459999999999</c:v>
                </c:pt>
                <c:pt idx="819">
                  <c:v>7.6061810000000003</c:v>
                </c:pt>
                <c:pt idx="820">
                  <c:v>5.8940549999999998</c:v>
                </c:pt>
                <c:pt idx="821">
                  <c:v>7.7678120000000002</c:v>
                </c:pt>
                <c:pt idx="822">
                  <c:v>9.3538049999999995</c:v>
                </c:pt>
                <c:pt idx="823">
                  <c:v>9.1932700000000001</c:v>
                </c:pt>
                <c:pt idx="824">
                  <c:v>5.9041459999999999</c:v>
                </c:pt>
                <c:pt idx="825">
                  <c:v>4.6137129999999997</c:v>
                </c:pt>
                <c:pt idx="826">
                  <c:v>6.3208900000000003</c:v>
                </c:pt>
                <c:pt idx="827">
                  <c:v>6.87582</c:v>
                </c:pt>
                <c:pt idx="828">
                  <c:v>6.5946340000000001</c:v>
                </c:pt>
                <c:pt idx="829">
                  <c:v>4.9943109999999997</c:v>
                </c:pt>
                <c:pt idx="830">
                  <c:v>7.5532700000000004</c:v>
                </c:pt>
                <c:pt idx="831">
                  <c:v>9.4499239999999993</c:v>
                </c:pt>
                <c:pt idx="832">
                  <c:v>7.6743899999999998</c:v>
                </c:pt>
                <c:pt idx="833">
                  <c:v>7.0514979999999996</c:v>
                </c:pt>
                <c:pt idx="834">
                  <c:v>4.6143409999999996</c:v>
                </c:pt>
                <c:pt idx="835">
                  <c:v>12.384073000000001</c:v>
                </c:pt>
                <c:pt idx="836">
                  <c:v>9.0695409999999992</c:v>
                </c:pt>
                <c:pt idx="837">
                  <c:v>8.1918699999999998</c:v>
                </c:pt>
                <c:pt idx="838">
                  <c:v>4.583196</c:v>
                </c:pt>
                <c:pt idx="839">
                  <c:v>7.4666350000000001</c:v>
                </c:pt>
                <c:pt idx="840">
                  <c:v>9.4587610000000009</c:v>
                </c:pt>
                <c:pt idx="841">
                  <c:v>7.2756259999999999</c:v>
                </c:pt>
                <c:pt idx="842">
                  <c:v>5.4931049999999999</c:v>
                </c:pt>
                <c:pt idx="843">
                  <c:v>6.624854</c:v>
                </c:pt>
                <c:pt idx="844">
                  <c:v>6.9648380000000003</c:v>
                </c:pt>
                <c:pt idx="845">
                  <c:v>6.1068800000000003</c:v>
                </c:pt>
                <c:pt idx="846">
                  <c:v>14.135744000000001</c:v>
                </c:pt>
                <c:pt idx="847">
                  <c:v>6.2304110000000001</c:v>
                </c:pt>
                <c:pt idx="848">
                  <c:v>9.7134900000000002</c:v>
                </c:pt>
                <c:pt idx="849">
                  <c:v>8.0365149999999996</c:v>
                </c:pt>
                <c:pt idx="850">
                  <c:v>11.620331</c:v>
                </c:pt>
                <c:pt idx="851">
                  <c:v>10.171314000000001</c:v>
                </c:pt>
                <c:pt idx="852">
                  <c:v>12.464664000000001</c:v>
                </c:pt>
                <c:pt idx="853">
                  <c:v>6.0150569999999997</c:v>
                </c:pt>
                <c:pt idx="854">
                  <c:v>8.0263109999999998</c:v>
                </c:pt>
                <c:pt idx="855">
                  <c:v>9.6146740000000008</c:v>
                </c:pt>
                <c:pt idx="856">
                  <c:v>6.4468100000000002</c:v>
                </c:pt>
                <c:pt idx="857">
                  <c:v>14.864285000000001</c:v>
                </c:pt>
                <c:pt idx="858">
                  <c:v>12.669532999999999</c:v>
                </c:pt>
                <c:pt idx="859">
                  <c:v>11.171714</c:v>
                </c:pt>
                <c:pt idx="860">
                  <c:v>6.6846860000000001</c:v>
                </c:pt>
                <c:pt idx="861">
                  <c:v>5.0447870000000004</c:v>
                </c:pt>
                <c:pt idx="862">
                  <c:v>3.9333840000000002</c:v>
                </c:pt>
                <c:pt idx="863">
                  <c:v>6.5493589999999999</c:v>
                </c:pt>
                <c:pt idx="864">
                  <c:v>10.563138</c:v>
                </c:pt>
                <c:pt idx="865">
                  <c:v>13.620084</c:v>
                </c:pt>
                <c:pt idx="866">
                  <c:v>10.711123000000001</c:v>
                </c:pt>
                <c:pt idx="867">
                  <c:v>4.5521140000000004</c:v>
                </c:pt>
                <c:pt idx="868">
                  <c:v>6.9185840000000001</c:v>
                </c:pt>
                <c:pt idx="869">
                  <c:v>8.4507770000000004</c:v>
                </c:pt>
                <c:pt idx="870">
                  <c:v>5.8990239999999998</c:v>
                </c:pt>
                <c:pt idx="871">
                  <c:v>10.333886</c:v>
                </c:pt>
                <c:pt idx="872">
                  <c:v>5.3052219999999997</c:v>
                </c:pt>
                <c:pt idx="873">
                  <c:v>6.8492009999999999</c:v>
                </c:pt>
                <c:pt idx="874">
                  <c:v>5.9602830000000004</c:v>
                </c:pt>
                <c:pt idx="875">
                  <c:v>4.6383359999999998</c:v>
                </c:pt>
                <c:pt idx="876">
                  <c:v>5.3918330000000001</c:v>
                </c:pt>
                <c:pt idx="877">
                  <c:v>6.1354309999999996</c:v>
                </c:pt>
                <c:pt idx="878">
                  <c:v>6.758832</c:v>
                </c:pt>
                <c:pt idx="879">
                  <c:v>5.6827430000000003</c:v>
                </c:pt>
                <c:pt idx="880">
                  <c:v>9.2824939999999998</c:v>
                </c:pt>
                <c:pt idx="881">
                  <c:v>8.3127779999999998</c:v>
                </c:pt>
                <c:pt idx="882">
                  <c:v>6.7568640000000002</c:v>
                </c:pt>
                <c:pt idx="883">
                  <c:v>8.4757259999999999</c:v>
                </c:pt>
                <c:pt idx="884">
                  <c:v>6.3474329999999997</c:v>
                </c:pt>
                <c:pt idx="885">
                  <c:v>6.9666740000000003</c:v>
                </c:pt>
                <c:pt idx="886">
                  <c:v>10.410424000000001</c:v>
                </c:pt>
                <c:pt idx="887">
                  <c:v>3.81806</c:v>
                </c:pt>
                <c:pt idx="888">
                  <c:v>5.5390600000000001</c:v>
                </c:pt>
                <c:pt idx="889">
                  <c:v>10.114633</c:v>
                </c:pt>
                <c:pt idx="890">
                  <c:v>5.169619</c:v>
                </c:pt>
                <c:pt idx="891">
                  <c:v>8.0885459999999991</c:v>
                </c:pt>
                <c:pt idx="892">
                  <c:v>7.9193530000000001</c:v>
                </c:pt>
                <c:pt idx="893">
                  <c:v>9.708672</c:v>
                </c:pt>
                <c:pt idx="894">
                  <c:v>9.2169480000000004</c:v>
                </c:pt>
                <c:pt idx="895">
                  <c:v>13.013873</c:v>
                </c:pt>
                <c:pt idx="896">
                  <c:v>8.1522369999999995</c:v>
                </c:pt>
                <c:pt idx="897">
                  <c:v>6.1596950000000001</c:v>
                </c:pt>
                <c:pt idx="898">
                  <c:v>9.618627</c:v>
                </c:pt>
                <c:pt idx="899">
                  <c:v>11.166084</c:v>
                </c:pt>
                <c:pt idx="900">
                  <c:v>9.3523980000000009</c:v>
                </c:pt>
                <c:pt idx="901">
                  <c:v>9.5236979999999996</c:v>
                </c:pt>
                <c:pt idx="902">
                  <c:v>13.999328999999999</c:v>
                </c:pt>
                <c:pt idx="903">
                  <c:v>15.511195000000001</c:v>
                </c:pt>
                <c:pt idx="904">
                  <c:v>12.726146</c:v>
                </c:pt>
                <c:pt idx="905">
                  <c:v>14.548684</c:v>
                </c:pt>
                <c:pt idx="906">
                  <c:v>16.136040000000001</c:v>
                </c:pt>
                <c:pt idx="907">
                  <c:v>34.401710000000001</c:v>
                </c:pt>
                <c:pt idx="908">
                  <c:v>11.037317</c:v>
                </c:pt>
                <c:pt idx="909">
                  <c:v>11.485697</c:v>
                </c:pt>
                <c:pt idx="910">
                  <c:v>11.087204</c:v>
                </c:pt>
                <c:pt idx="911">
                  <c:v>8.0235249999999994</c:v>
                </c:pt>
                <c:pt idx="912">
                  <c:v>6.2550270000000001</c:v>
                </c:pt>
                <c:pt idx="913">
                  <c:v>6.8516149999999998</c:v>
                </c:pt>
                <c:pt idx="914">
                  <c:v>6.6764910000000004</c:v>
                </c:pt>
                <c:pt idx="915">
                  <c:v>8.7118160000000007</c:v>
                </c:pt>
                <c:pt idx="916">
                  <c:v>11.478317000000001</c:v>
                </c:pt>
                <c:pt idx="917">
                  <c:v>7.6401320000000004</c:v>
                </c:pt>
                <c:pt idx="918">
                  <c:v>7.6722149999999996</c:v>
                </c:pt>
                <c:pt idx="919">
                  <c:v>6.340427</c:v>
                </c:pt>
                <c:pt idx="920">
                  <c:v>8.1042369999999995</c:v>
                </c:pt>
                <c:pt idx="921">
                  <c:v>9.8202440000000006</c:v>
                </c:pt>
                <c:pt idx="922">
                  <c:v>9.9549210000000006</c:v>
                </c:pt>
                <c:pt idx="923">
                  <c:v>7.3341339999999997</c:v>
                </c:pt>
                <c:pt idx="924">
                  <c:v>10.959783</c:v>
                </c:pt>
                <c:pt idx="925">
                  <c:v>9.3218589999999999</c:v>
                </c:pt>
                <c:pt idx="926">
                  <c:v>20.449543999999999</c:v>
                </c:pt>
                <c:pt idx="927">
                  <c:v>16.618113999999998</c:v>
                </c:pt>
                <c:pt idx="928">
                  <c:v>6.174137</c:v>
                </c:pt>
                <c:pt idx="929">
                  <c:v>7.0776690000000002</c:v>
                </c:pt>
                <c:pt idx="930">
                  <c:v>5.4308940000000003</c:v>
                </c:pt>
                <c:pt idx="931">
                  <c:v>7.5598429999999999</c:v>
                </c:pt>
                <c:pt idx="932">
                  <c:v>5.8862449999999997</c:v>
                </c:pt>
                <c:pt idx="933">
                  <c:v>11.117081000000001</c:v>
                </c:pt>
                <c:pt idx="934">
                  <c:v>7.4956849999999999</c:v>
                </c:pt>
                <c:pt idx="935">
                  <c:v>13.657427999999999</c:v>
                </c:pt>
                <c:pt idx="936">
                  <c:v>10.038169999999999</c:v>
                </c:pt>
                <c:pt idx="937">
                  <c:v>12.157425</c:v>
                </c:pt>
                <c:pt idx="938">
                  <c:v>10.720884</c:v>
                </c:pt>
                <c:pt idx="939">
                  <c:v>14.224356</c:v>
                </c:pt>
                <c:pt idx="940">
                  <c:v>23.224755999999999</c:v>
                </c:pt>
                <c:pt idx="941">
                  <c:v>20.438651</c:v>
                </c:pt>
                <c:pt idx="942">
                  <c:v>24.828458000000001</c:v>
                </c:pt>
                <c:pt idx="943">
                  <c:v>20.147061000000001</c:v>
                </c:pt>
                <c:pt idx="944">
                  <c:v>11.660648</c:v>
                </c:pt>
                <c:pt idx="945">
                  <c:v>8.3571810000000006</c:v>
                </c:pt>
                <c:pt idx="946">
                  <c:v>11.691602</c:v>
                </c:pt>
                <c:pt idx="947">
                  <c:v>14.463418000000001</c:v>
                </c:pt>
                <c:pt idx="948">
                  <c:v>10.066136</c:v>
                </c:pt>
                <c:pt idx="949">
                  <c:v>13.085008999999999</c:v>
                </c:pt>
                <c:pt idx="950">
                  <c:v>6.3031730000000001</c:v>
                </c:pt>
                <c:pt idx="951">
                  <c:v>6.9235579999999999</c:v>
                </c:pt>
                <c:pt idx="952">
                  <c:v>5.635224</c:v>
                </c:pt>
                <c:pt idx="953">
                  <c:v>5.4666620000000004</c:v>
                </c:pt>
                <c:pt idx="954">
                  <c:v>6.5163080000000004</c:v>
                </c:pt>
                <c:pt idx="955">
                  <c:v>7.4577650000000002</c:v>
                </c:pt>
                <c:pt idx="956">
                  <c:v>7.4265629999999998</c:v>
                </c:pt>
                <c:pt idx="957">
                  <c:v>8.6173889999999993</c:v>
                </c:pt>
                <c:pt idx="958">
                  <c:v>9.7178939999999994</c:v>
                </c:pt>
                <c:pt idx="959">
                  <c:v>12.848281</c:v>
                </c:pt>
                <c:pt idx="960">
                  <c:v>9.3998299999999997</c:v>
                </c:pt>
                <c:pt idx="961">
                  <c:v>12.30067</c:v>
                </c:pt>
                <c:pt idx="962">
                  <c:v>10.939178999999999</c:v>
                </c:pt>
                <c:pt idx="963">
                  <c:v>10.776387</c:v>
                </c:pt>
                <c:pt idx="964">
                  <c:v>10.802708000000001</c:v>
                </c:pt>
                <c:pt idx="965">
                  <c:v>13.478899</c:v>
                </c:pt>
                <c:pt idx="966">
                  <c:v>15.457534000000001</c:v>
                </c:pt>
                <c:pt idx="967">
                  <c:v>12.3192</c:v>
                </c:pt>
                <c:pt idx="968">
                  <c:v>17.765523999999999</c:v>
                </c:pt>
                <c:pt idx="969">
                  <c:v>34.927773999999999</c:v>
                </c:pt>
                <c:pt idx="970">
                  <c:v>38.088158</c:v>
                </c:pt>
                <c:pt idx="971">
                  <c:v>8.8125009999999993</c:v>
                </c:pt>
                <c:pt idx="972">
                  <c:v>10.68906</c:v>
                </c:pt>
                <c:pt idx="973">
                  <c:v>8.5053999999999998</c:v>
                </c:pt>
                <c:pt idx="974">
                  <c:v>7.74627</c:v>
                </c:pt>
                <c:pt idx="975">
                  <c:v>24.055886000000001</c:v>
                </c:pt>
                <c:pt idx="976">
                  <c:v>19.680557</c:v>
                </c:pt>
                <c:pt idx="977">
                  <c:v>16.302341999999999</c:v>
                </c:pt>
                <c:pt idx="978">
                  <c:v>5.1965380000000003</c:v>
                </c:pt>
                <c:pt idx="979">
                  <c:v>5.2945630000000001</c:v>
                </c:pt>
                <c:pt idx="980">
                  <c:v>7.2522789999999997</c:v>
                </c:pt>
                <c:pt idx="981">
                  <c:v>9.5957869999999996</c:v>
                </c:pt>
                <c:pt idx="982">
                  <c:v>10.454143</c:v>
                </c:pt>
                <c:pt idx="983">
                  <c:v>7.955578</c:v>
                </c:pt>
                <c:pt idx="984">
                  <c:v>11.312955000000001</c:v>
                </c:pt>
                <c:pt idx="985">
                  <c:v>9.7059060000000006</c:v>
                </c:pt>
                <c:pt idx="986">
                  <c:v>8.5508600000000001</c:v>
                </c:pt>
                <c:pt idx="987">
                  <c:v>5.5869799999999996</c:v>
                </c:pt>
                <c:pt idx="988">
                  <c:v>5.1197049999999997</c:v>
                </c:pt>
                <c:pt idx="989">
                  <c:v>3.969894</c:v>
                </c:pt>
                <c:pt idx="990">
                  <c:v>4.6455469999999996</c:v>
                </c:pt>
                <c:pt idx="991">
                  <c:v>6.9967290000000002</c:v>
                </c:pt>
                <c:pt idx="992">
                  <c:v>6.0288930000000001</c:v>
                </c:pt>
                <c:pt idx="993">
                  <c:v>6.8846829999999999</c:v>
                </c:pt>
                <c:pt idx="994">
                  <c:v>7.4895339999999999</c:v>
                </c:pt>
                <c:pt idx="995">
                  <c:v>10.116104</c:v>
                </c:pt>
                <c:pt idx="996">
                  <c:v>9.9346460000000008</c:v>
                </c:pt>
                <c:pt idx="997">
                  <c:v>7.8447050000000003</c:v>
                </c:pt>
                <c:pt idx="998">
                  <c:v>7.3091869999999997</c:v>
                </c:pt>
                <c:pt idx="999">
                  <c:v>7.6928879999999999</c:v>
                </c:pt>
                <c:pt idx="1000">
                  <c:v>8.6125120000000006</c:v>
                </c:pt>
                <c:pt idx="1001">
                  <c:v>13.634563</c:v>
                </c:pt>
                <c:pt idx="1002">
                  <c:v>5.5497430000000003</c:v>
                </c:pt>
                <c:pt idx="1003">
                  <c:v>7.0213950000000001</c:v>
                </c:pt>
                <c:pt idx="1004">
                  <c:v>11.670826</c:v>
                </c:pt>
                <c:pt idx="1005">
                  <c:v>15.123987</c:v>
                </c:pt>
                <c:pt idx="1006">
                  <c:v>8.0227850000000007</c:v>
                </c:pt>
                <c:pt idx="1007">
                  <c:v>9.5059850000000008</c:v>
                </c:pt>
                <c:pt idx="1008">
                  <c:v>8.6126009999999997</c:v>
                </c:pt>
                <c:pt idx="1009">
                  <c:v>16.184200000000001</c:v>
                </c:pt>
                <c:pt idx="1010">
                  <c:v>24.699808999999998</c:v>
                </c:pt>
                <c:pt idx="1011">
                  <c:v>12.084376000000001</c:v>
                </c:pt>
                <c:pt idx="1012">
                  <c:v>10.252753</c:v>
                </c:pt>
                <c:pt idx="1013">
                  <c:v>9.7604860000000002</c:v>
                </c:pt>
                <c:pt idx="1014">
                  <c:v>11.463429</c:v>
                </c:pt>
                <c:pt idx="1015">
                  <c:v>16.575348000000002</c:v>
                </c:pt>
                <c:pt idx="1016">
                  <c:v>16.741078999999999</c:v>
                </c:pt>
                <c:pt idx="1017">
                  <c:v>13.458109</c:v>
                </c:pt>
                <c:pt idx="1018">
                  <c:v>18.083445000000001</c:v>
                </c:pt>
                <c:pt idx="1019">
                  <c:v>8.9787630000000007</c:v>
                </c:pt>
                <c:pt idx="1020">
                  <c:v>12.849161</c:v>
                </c:pt>
                <c:pt idx="1021">
                  <c:v>9.372897</c:v>
                </c:pt>
                <c:pt idx="1022">
                  <c:v>6.1953589999999998</c:v>
                </c:pt>
                <c:pt idx="1023">
                  <c:v>10.844882999999999</c:v>
                </c:pt>
                <c:pt idx="1024">
                  <c:v>12.120207000000001</c:v>
                </c:pt>
                <c:pt idx="1025">
                  <c:v>13.872769999999999</c:v>
                </c:pt>
                <c:pt idx="1026">
                  <c:v>0.79343300000000005</c:v>
                </c:pt>
                <c:pt idx="1027">
                  <c:v>10.529505</c:v>
                </c:pt>
                <c:pt idx="1028">
                  <c:v>11.812106</c:v>
                </c:pt>
                <c:pt idx="1029">
                  <c:v>11.694853999999999</c:v>
                </c:pt>
                <c:pt idx="1030">
                  <c:v>21.343426999999998</c:v>
                </c:pt>
                <c:pt idx="1031">
                  <c:v>19.320926</c:v>
                </c:pt>
                <c:pt idx="1032">
                  <c:v>39.606414000000001</c:v>
                </c:pt>
                <c:pt idx="1033">
                  <c:v>16.771909000000001</c:v>
                </c:pt>
                <c:pt idx="1034">
                  <c:v>29.193770000000001</c:v>
                </c:pt>
                <c:pt idx="1035">
                  <c:v>10.64697</c:v>
                </c:pt>
                <c:pt idx="1036">
                  <c:v>7.4056389999999999</c:v>
                </c:pt>
                <c:pt idx="1037">
                  <c:v>9.0230669999999993</c:v>
                </c:pt>
                <c:pt idx="1038">
                  <c:v>10.633732</c:v>
                </c:pt>
                <c:pt idx="1039">
                  <c:v>11.014585</c:v>
                </c:pt>
                <c:pt idx="1040">
                  <c:v>7.1571160000000003</c:v>
                </c:pt>
                <c:pt idx="1041">
                  <c:v>4.3814140000000004</c:v>
                </c:pt>
                <c:pt idx="1042">
                  <c:v>5.0985019999999999</c:v>
                </c:pt>
                <c:pt idx="1043">
                  <c:v>4.4174550000000004</c:v>
                </c:pt>
                <c:pt idx="1044">
                  <c:v>4.2956859999999999</c:v>
                </c:pt>
                <c:pt idx="1045">
                  <c:v>6.6226979999999998</c:v>
                </c:pt>
                <c:pt idx="1046">
                  <c:v>5.092479</c:v>
                </c:pt>
                <c:pt idx="1047">
                  <c:v>3.9452240000000001</c:v>
                </c:pt>
                <c:pt idx="1048">
                  <c:v>5.8455269999999997</c:v>
                </c:pt>
                <c:pt idx="1049">
                  <c:v>6.0898950000000003</c:v>
                </c:pt>
                <c:pt idx="1050">
                  <c:v>9.1781869999999994</c:v>
                </c:pt>
                <c:pt idx="1051">
                  <c:v>14.241004</c:v>
                </c:pt>
                <c:pt idx="1052">
                  <c:v>7.3696799999999998</c:v>
                </c:pt>
                <c:pt idx="1053">
                  <c:v>7.7152589999999996</c:v>
                </c:pt>
                <c:pt idx="1054">
                  <c:v>5.1846259999999997</c:v>
                </c:pt>
                <c:pt idx="1055">
                  <c:v>9.0434920000000005</c:v>
                </c:pt>
                <c:pt idx="1056">
                  <c:v>4.3591420000000003</c:v>
                </c:pt>
                <c:pt idx="1057">
                  <c:v>7.8335610000000004</c:v>
                </c:pt>
                <c:pt idx="1058">
                  <c:v>6.3064840000000002</c:v>
                </c:pt>
                <c:pt idx="1059">
                  <c:v>14.641298000000001</c:v>
                </c:pt>
                <c:pt idx="1060">
                  <c:v>15.446510999999999</c:v>
                </c:pt>
                <c:pt idx="1061">
                  <c:v>4.0755920000000003</c:v>
                </c:pt>
                <c:pt idx="1062">
                  <c:v>6.3012079999999999</c:v>
                </c:pt>
                <c:pt idx="1063">
                  <c:v>4.8144429999999998</c:v>
                </c:pt>
                <c:pt idx="1064">
                  <c:v>4.9093249999999999</c:v>
                </c:pt>
                <c:pt idx="1065">
                  <c:v>5.903035</c:v>
                </c:pt>
                <c:pt idx="1066">
                  <c:v>6.9269210000000001</c:v>
                </c:pt>
                <c:pt idx="1067">
                  <c:v>4.5391919999999999</c:v>
                </c:pt>
                <c:pt idx="1068">
                  <c:v>7.5097459999999998</c:v>
                </c:pt>
                <c:pt idx="1069">
                  <c:v>6.7996169999999996</c:v>
                </c:pt>
                <c:pt idx="1070">
                  <c:v>19.972194999999999</c:v>
                </c:pt>
                <c:pt idx="1071">
                  <c:v>12.11487</c:v>
                </c:pt>
                <c:pt idx="1072">
                  <c:v>12.517507</c:v>
                </c:pt>
                <c:pt idx="1073">
                  <c:v>5.8419670000000004</c:v>
                </c:pt>
                <c:pt idx="1074">
                  <c:v>6.4921550000000003</c:v>
                </c:pt>
                <c:pt idx="1075">
                  <c:v>6.7265090000000001</c:v>
                </c:pt>
                <c:pt idx="1076">
                  <c:v>4.5374350000000003</c:v>
                </c:pt>
                <c:pt idx="1077">
                  <c:v>3.6147610000000001</c:v>
                </c:pt>
                <c:pt idx="1078">
                  <c:v>6.0920360000000002</c:v>
                </c:pt>
                <c:pt idx="1079">
                  <c:v>5.3704599999999996</c:v>
                </c:pt>
                <c:pt idx="1080">
                  <c:v>5.5761099999999999</c:v>
                </c:pt>
                <c:pt idx="1081">
                  <c:v>3.9676290000000001</c:v>
                </c:pt>
                <c:pt idx="1082">
                  <c:v>4.239376</c:v>
                </c:pt>
                <c:pt idx="1083">
                  <c:v>3.5720809999999998</c:v>
                </c:pt>
                <c:pt idx="1084">
                  <c:v>6.429468</c:v>
                </c:pt>
                <c:pt idx="1085">
                  <c:v>8.3092480000000002</c:v>
                </c:pt>
                <c:pt idx="1086">
                  <c:v>6.0646880000000003</c:v>
                </c:pt>
                <c:pt idx="1087">
                  <c:v>6.5225989999999996</c:v>
                </c:pt>
                <c:pt idx="1088">
                  <c:v>7.2469910000000004</c:v>
                </c:pt>
                <c:pt idx="1089">
                  <c:v>9.7443489999999997</c:v>
                </c:pt>
                <c:pt idx="1090">
                  <c:v>9.2658389999999997</c:v>
                </c:pt>
                <c:pt idx="1091">
                  <c:v>6.8233449999999998</c:v>
                </c:pt>
                <c:pt idx="1092">
                  <c:v>10.358449999999999</c:v>
                </c:pt>
                <c:pt idx="1093">
                  <c:v>6.8556730000000003</c:v>
                </c:pt>
                <c:pt idx="1094">
                  <c:v>11.102486000000001</c:v>
                </c:pt>
                <c:pt idx="1095">
                  <c:v>15.441542999999999</c:v>
                </c:pt>
                <c:pt idx="1096">
                  <c:v>7.8909919999999998</c:v>
                </c:pt>
                <c:pt idx="1097">
                  <c:v>6.6044650000000003</c:v>
                </c:pt>
                <c:pt idx="1098">
                  <c:v>7.876163</c:v>
                </c:pt>
                <c:pt idx="1099">
                  <c:v>5.8157399999999999</c:v>
                </c:pt>
                <c:pt idx="1100">
                  <c:v>5.5544859999999998</c:v>
                </c:pt>
                <c:pt idx="1101">
                  <c:v>2.9135529999999998</c:v>
                </c:pt>
                <c:pt idx="1102">
                  <c:v>4.2398680000000004</c:v>
                </c:pt>
                <c:pt idx="1103">
                  <c:v>5.6219239999999999</c:v>
                </c:pt>
                <c:pt idx="1104">
                  <c:v>9.8109760000000001</c:v>
                </c:pt>
                <c:pt idx="1105">
                  <c:v>4.4754659999999999</c:v>
                </c:pt>
                <c:pt idx="1106">
                  <c:v>5.7821189999999998</c:v>
                </c:pt>
                <c:pt idx="1107">
                  <c:v>4.1882669999999997</c:v>
                </c:pt>
                <c:pt idx="1108">
                  <c:v>3.5733679999999999</c:v>
                </c:pt>
                <c:pt idx="1109">
                  <c:v>5.5294850000000002</c:v>
                </c:pt>
                <c:pt idx="1110">
                  <c:v>4.6800889999999997</c:v>
                </c:pt>
                <c:pt idx="1111">
                  <c:v>3.5576469999999998</c:v>
                </c:pt>
                <c:pt idx="1112">
                  <c:v>5.6956899999999999</c:v>
                </c:pt>
                <c:pt idx="1113">
                  <c:v>5.4599700000000002</c:v>
                </c:pt>
                <c:pt idx="1114">
                  <c:v>7.5006550000000001</c:v>
                </c:pt>
                <c:pt idx="1115">
                  <c:v>7.6727429999999996</c:v>
                </c:pt>
                <c:pt idx="1116">
                  <c:v>11.170037000000001</c:v>
                </c:pt>
                <c:pt idx="1117">
                  <c:v>5.313822</c:v>
                </c:pt>
                <c:pt idx="1118">
                  <c:v>6.154147</c:v>
                </c:pt>
                <c:pt idx="1119">
                  <c:v>6.727233</c:v>
                </c:pt>
                <c:pt idx="1120">
                  <c:v>6.4644969999999997</c:v>
                </c:pt>
                <c:pt idx="1121">
                  <c:v>8.1437919999999995</c:v>
                </c:pt>
                <c:pt idx="1122">
                  <c:v>6.6743290000000002</c:v>
                </c:pt>
                <c:pt idx="1123">
                  <c:v>8.614096</c:v>
                </c:pt>
                <c:pt idx="1124">
                  <c:v>9.6864899999999992</c:v>
                </c:pt>
                <c:pt idx="1125">
                  <c:v>5.1906699999999999</c:v>
                </c:pt>
                <c:pt idx="1126">
                  <c:v>4.8407590000000003</c:v>
                </c:pt>
                <c:pt idx="1127">
                  <c:v>7.7951249999999996</c:v>
                </c:pt>
                <c:pt idx="1128">
                  <c:v>8.0047259999999998</c:v>
                </c:pt>
                <c:pt idx="1129">
                  <c:v>6.4268150000000004</c:v>
                </c:pt>
                <c:pt idx="1130">
                  <c:v>6.9867280000000003</c:v>
                </c:pt>
                <c:pt idx="1131">
                  <c:v>10.336010999999999</c:v>
                </c:pt>
                <c:pt idx="1132">
                  <c:v>8.1705079999999999</c:v>
                </c:pt>
                <c:pt idx="1133">
                  <c:v>9.9730430000000005</c:v>
                </c:pt>
                <c:pt idx="1134">
                  <c:v>6.6602430000000004</c:v>
                </c:pt>
                <c:pt idx="1135">
                  <c:v>9.2750859999999999</c:v>
                </c:pt>
                <c:pt idx="1136">
                  <c:v>17.149692000000002</c:v>
                </c:pt>
                <c:pt idx="1137">
                  <c:v>23.040845999999998</c:v>
                </c:pt>
                <c:pt idx="1138">
                  <c:v>9.0810860000000009</c:v>
                </c:pt>
                <c:pt idx="1139">
                  <c:v>11.344260999999999</c:v>
                </c:pt>
                <c:pt idx="1140">
                  <c:v>15.716900000000001</c:v>
                </c:pt>
                <c:pt idx="1141">
                  <c:v>15.883692</c:v>
                </c:pt>
                <c:pt idx="1142">
                  <c:v>18.840413000000002</c:v>
                </c:pt>
                <c:pt idx="1143">
                  <c:v>20.244015999999998</c:v>
                </c:pt>
                <c:pt idx="1144">
                  <c:v>19.519055000000002</c:v>
                </c:pt>
                <c:pt idx="1145">
                  <c:v>12.099197</c:v>
                </c:pt>
                <c:pt idx="1146">
                  <c:v>9.3779679999999992</c:v>
                </c:pt>
                <c:pt idx="1147">
                  <c:v>10.856584</c:v>
                </c:pt>
                <c:pt idx="1148">
                  <c:v>12.736700000000001</c:v>
                </c:pt>
                <c:pt idx="1149">
                  <c:v>7.9804620000000002</c:v>
                </c:pt>
                <c:pt idx="1150">
                  <c:v>7.1319699999999999</c:v>
                </c:pt>
                <c:pt idx="1151">
                  <c:v>9.4849340000000009</c:v>
                </c:pt>
                <c:pt idx="1152">
                  <c:v>11.155033</c:v>
                </c:pt>
                <c:pt idx="1153">
                  <c:v>11.980155</c:v>
                </c:pt>
                <c:pt idx="1154">
                  <c:v>13.752878000000001</c:v>
                </c:pt>
                <c:pt idx="1155">
                  <c:v>23.011654</c:v>
                </c:pt>
                <c:pt idx="1156">
                  <c:v>25.939326999999999</c:v>
                </c:pt>
                <c:pt idx="1157">
                  <c:v>54.060586999999998</c:v>
                </c:pt>
                <c:pt idx="1158">
                  <c:v>46.559967</c:v>
                </c:pt>
                <c:pt idx="1159">
                  <c:v>21.646184000000002</c:v>
                </c:pt>
                <c:pt idx="1160">
                  <c:v>19.167767999999999</c:v>
                </c:pt>
                <c:pt idx="1161">
                  <c:v>19.385102</c:v>
                </c:pt>
                <c:pt idx="1162">
                  <c:v>12.296248</c:v>
                </c:pt>
                <c:pt idx="1163">
                  <c:v>17.292072000000001</c:v>
                </c:pt>
                <c:pt idx="1164">
                  <c:v>12.242521999999999</c:v>
                </c:pt>
                <c:pt idx="1165">
                  <c:v>15.195951000000001</c:v>
                </c:pt>
                <c:pt idx="1166">
                  <c:v>12.73765</c:v>
                </c:pt>
                <c:pt idx="1167">
                  <c:v>14.649540999999999</c:v>
                </c:pt>
                <c:pt idx="1168">
                  <c:v>12.509114</c:v>
                </c:pt>
                <c:pt idx="1169">
                  <c:v>9.0263980000000004</c:v>
                </c:pt>
                <c:pt idx="1170">
                  <c:v>14.433515</c:v>
                </c:pt>
                <c:pt idx="1171">
                  <c:v>12.062011</c:v>
                </c:pt>
                <c:pt idx="1172">
                  <c:v>16.239521</c:v>
                </c:pt>
                <c:pt idx="1173">
                  <c:v>13.090325999999999</c:v>
                </c:pt>
                <c:pt idx="1174">
                  <c:v>14.924620000000001</c:v>
                </c:pt>
                <c:pt idx="1175">
                  <c:v>25.965741999999999</c:v>
                </c:pt>
                <c:pt idx="1176">
                  <c:v>13.143312</c:v>
                </c:pt>
                <c:pt idx="1177">
                  <c:v>21.179279999999999</c:v>
                </c:pt>
                <c:pt idx="1178">
                  <c:v>14.379147</c:v>
                </c:pt>
                <c:pt idx="1179">
                  <c:v>15.949688</c:v>
                </c:pt>
                <c:pt idx="1180">
                  <c:v>14.80223</c:v>
                </c:pt>
                <c:pt idx="1181">
                  <c:v>20.377672</c:v>
                </c:pt>
                <c:pt idx="1182">
                  <c:v>12.261544000000001</c:v>
                </c:pt>
                <c:pt idx="1183">
                  <c:v>12.380976</c:v>
                </c:pt>
                <c:pt idx="1184">
                  <c:v>11.358574000000001</c:v>
                </c:pt>
                <c:pt idx="1185">
                  <c:v>22.466578999999999</c:v>
                </c:pt>
                <c:pt idx="1186">
                  <c:v>16.343306999999999</c:v>
                </c:pt>
                <c:pt idx="1187">
                  <c:v>13.37799</c:v>
                </c:pt>
                <c:pt idx="1188">
                  <c:v>18.951682999999999</c:v>
                </c:pt>
                <c:pt idx="1189">
                  <c:v>13.898555999999999</c:v>
                </c:pt>
                <c:pt idx="1190">
                  <c:v>16.358252</c:v>
                </c:pt>
                <c:pt idx="1191">
                  <c:v>16.896947000000001</c:v>
                </c:pt>
                <c:pt idx="1192">
                  <c:v>13.603790999999999</c:v>
                </c:pt>
                <c:pt idx="1193">
                  <c:v>14.503453</c:v>
                </c:pt>
                <c:pt idx="1194">
                  <c:v>14.301187000000001</c:v>
                </c:pt>
                <c:pt idx="1195">
                  <c:v>31.306177000000002</c:v>
                </c:pt>
                <c:pt idx="1196">
                  <c:v>26.635119</c:v>
                </c:pt>
                <c:pt idx="1197">
                  <c:v>11.207286</c:v>
                </c:pt>
                <c:pt idx="1198">
                  <c:v>16.804763000000001</c:v>
                </c:pt>
                <c:pt idx="1199">
                  <c:v>18.123201999999999</c:v>
                </c:pt>
                <c:pt idx="1200">
                  <c:v>15.634786999999999</c:v>
                </c:pt>
                <c:pt idx="1201">
                  <c:v>19.685663000000002</c:v>
                </c:pt>
                <c:pt idx="1202">
                  <c:v>16.956357000000001</c:v>
                </c:pt>
                <c:pt idx="1203">
                  <c:v>23.968942999999999</c:v>
                </c:pt>
                <c:pt idx="1204">
                  <c:v>20.648115000000001</c:v>
                </c:pt>
                <c:pt idx="1205">
                  <c:v>15.668442000000001</c:v>
                </c:pt>
                <c:pt idx="1206">
                  <c:v>11.89771</c:v>
                </c:pt>
                <c:pt idx="1207">
                  <c:v>15.140744</c:v>
                </c:pt>
                <c:pt idx="1208">
                  <c:v>22.307807</c:v>
                </c:pt>
                <c:pt idx="1209">
                  <c:v>15.662890000000001</c:v>
                </c:pt>
                <c:pt idx="1210">
                  <c:v>31.121503000000001</c:v>
                </c:pt>
                <c:pt idx="1211">
                  <c:v>20.490289000000001</c:v>
                </c:pt>
                <c:pt idx="1212">
                  <c:v>23.541360999999998</c:v>
                </c:pt>
                <c:pt idx="1213">
                  <c:v>28.703320000000001</c:v>
                </c:pt>
                <c:pt idx="1214">
                  <c:v>30.64827</c:v>
                </c:pt>
                <c:pt idx="1215">
                  <c:v>31.273251999999999</c:v>
                </c:pt>
                <c:pt idx="1216">
                  <c:v>64.303974999999994</c:v>
                </c:pt>
                <c:pt idx="1217">
                  <c:v>24.462588</c:v>
                </c:pt>
                <c:pt idx="1218">
                  <c:v>21.325344999999999</c:v>
                </c:pt>
                <c:pt idx="1219">
                  <c:v>21.392223000000001</c:v>
                </c:pt>
                <c:pt idx="1220">
                  <c:v>15.849437999999999</c:v>
                </c:pt>
                <c:pt idx="1221">
                  <c:v>9.9806139999999992</c:v>
                </c:pt>
                <c:pt idx="1222">
                  <c:v>9.0105389999999996</c:v>
                </c:pt>
                <c:pt idx="1223">
                  <c:v>13.460603000000001</c:v>
                </c:pt>
                <c:pt idx="1224">
                  <c:v>12.339771000000001</c:v>
                </c:pt>
                <c:pt idx="1225">
                  <c:v>9.3375029999999999</c:v>
                </c:pt>
                <c:pt idx="1226">
                  <c:v>15.645903000000001</c:v>
                </c:pt>
                <c:pt idx="1227">
                  <c:v>13.301893</c:v>
                </c:pt>
                <c:pt idx="1228">
                  <c:v>7.9283650000000003</c:v>
                </c:pt>
                <c:pt idx="1229">
                  <c:v>12.272793999999999</c:v>
                </c:pt>
                <c:pt idx="1230">
                  <c:v>17.88757</c:v>
                </c:pt>
                <c:pt idx="1231">
                  <c:v>20.829644999999999</c:v>
                </c:pt>
                <c:pt idx="1232">
                  <c:v>37.973962999999998</c:v>
                </c:pt>
                <c:pt idx="1233">
                  <c:v>14.068156</c:v>
                </c:pt>
                <c:pt idx="1234">
                  <c:v>6.0470620000000004</c:v>
                </c:pt>
                <c:pt idx="1235">
                  <c:v>12.306502</c:v>
                </c:pt>
                <c:pt idx="1236">
                  <c:v>10.262221</c:v>
                </c:pt>
                <c:pt idx="1237">
                  <c:v>13.765454</c:v>
                </c:pt>
                <c:pt idx="1238">
                  <c:v>8.4445060000000005</c:v>
                </c:pt>
              </c:numCache>
            </c:numRef>
          </c:val>
          <c:extLst>
            <c:ext xmlns:c16="http://schemas.microsoft.com/office/drawing/2014/chart" uri="{C3380CC4-5D6E-409C-BE32-E72D297353CC}">
              <c16:uniqueId val="{00000000-288C-4775-978D-2915617E1535}"/>
            </c:ext>
          </c:extLst>
        </c:ser>
        <c:dLbls>
          <c:showLegendKey val="0"/>
          <c:showVal val="0"/>
          <c:showCatName val="0"/>
          <c:showSerName val="0"/>
          <c:showPercent val="0"/>
          <c:showBubbleSize val="0"/>
        </c:dLbls>
        <c:gapWidth val="100"/>
        <c:overlap val="-24"/>
        <c:axId val="119562304"/>
        <c:axId val="119569024"/>
      </c:barChart>
      <c:dateAx>
        <c:axId val="11956230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569024"/>
        <c:crosses val="autoZero"/>
        <c:auto val="1"/>
        <c:lblOffset val="100"/>
        <c:baseTimeUnit val="days"/>
      </c:dateAx>
      <c:valAx>
        <c:axId val="119569024"/>
        <c:scaling>
          <c:orientation val="minMax"/>
          <c:max val="60"/>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56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09220375230873"/>
          <c:y val="5.5555555555555559E-2"/>
          <c:w val="0.77184208223972006"/>
          <c:h val="0.8416746864975212"/>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CBF2-44C9-ADEE-4614C2EA989C}"/>
              </c:ext>
            </c:extLst>
          </c:dPt>
          <c:dPt>
            <c:idx val="1"/>
            <c:invertIfNegative val="0"/>
            <c:bubble3D val="0"/>
            <c:spPr>
              <a:solidFill>
                <a:schemeClr val="accent3">
                  <a:lumMod val="50000"/>
                </a:schemeClr>
              </a:solidFill>
              <a:ln>
                <a:noFill/>
              </a:ln>
              <a:effectLst/>
            </c:spPr>
            <c:extLst>
              <c:ext xmlns:c16="http://schemas.microsoft.com/office/drawing/2014/chart" uri="{C3380CC4-5D6E-409C-BE32-E72D297353CC}">
                <c16:uniqueId val="{00000003-CBF2-44C9-ADEE-4614C2EA989C}"/>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5-CBF2-44C9-ADEE-4614C2EA989C}"/>
              </c:ext>
            </c:extLst>
          </c:dPt>
          <c:dPt>
            <c:idx val="3"/>
            <c:invertIfNegative val="0"/>
            <c:bubble3D val="0"/>
            <c:spPr>
              <a:solidFill>
                <a:schemeClr val="bg1">
                  <a:lumMod val="75000"/>
                </a:schemeClr>
              </a:solidFill>
              <a:ln>
                <a:noFill/>
              </a:ln>
              <a:effectLst/>
            </c:spPr>
            <c:extLst>
              <c:ext xmlns:c16="http://schemas.microsoft.com/office/drawing/2014/chart" uri="{C3380CC4-5D6E-409C-BE32-E72D297353CC}">
                <c16:uniqueId val="{00000007-CBF2-44C9-ADEE-4614C2EA98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 SHEET'!$S$869:$S$872</c:f>
              <c:strCache>
                <c:ptCount val="4"/>
                <c:pt idx="0">
                  <c:v>PROMOTER</c:v>
                </c:pt>
                <c:pt idx="1">
                  <c:v>FII</c:v>
                </c:pt>
                <c:pt idx="2">
                  <c:v>DII</c:v>
                </c:pt>
                <c:pt idx="3">
                  <c:v>PUBLIC</c:v>
                </c:pt>
              </c:strCache>
            </c:strRef>
          </c:cat>
          <c:val>
            <c:numRef>
              <c:f>'INPUT SHEET'!$T$869:$T$872</c:f>
              <c:numCache>
                <c:formatCode>0.00%</c:formatCode>
                <c:ptCount val="4"/>
                <c:pt idx="0">
                  <c:v>8.1600000000000006E-2</c:v>
                </c:pt>
                <c:pt idx="1">
                  <c:v>0.41889999999999999</c:v>
                </c:pt>
                <c:pt idx="2">
                  <c:v>0.42820000000000003</c:v>
                </c:pt>
                <c:pt idx="3">
                  <c:v>7.0599999999999996E-2</c:v>
                </c:pt>
              </c:numCache>
            </c:numRef>
          </c:val>
          <c:extLst>
            <c:ext xmlns:c16="http://schemas.microsoft.com/office/drawing/2014/chart" uri="{C3380CC4-5D6E-409C-BE32-E72D297353CC}">
              <c16:uniqueId val="{00000008-CBF2-44C9-ADEE-4614C2EA989C}"/>
            </c:ext>
          </c:extLst>
        </c:ser>
        <c:dLbls>
          <c:dLblPos val="outEnd"/>
          <c:showLegendKey val="0"/>
          <c:showVal val="1"/>
          <c:showCatName val="0"/>
          <c:showSerName val="0"/>
          <c:showPercent val="0"/>
          <c:showBubbleSize val="0"/>
        </c:dLbls>
        <c:gapWidth val="182"/>
        <c:axId val="596145568"/>
        <c:axId val="596154688"/>
      </c:barChart>
      <c:catAx>
        <c:axId val="59614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54688"/>
        <c:crosses val="autoZero"/>
        <c:auto val="1"/>
        <c:lblAlgn val="ctr"/>
        <c:lblOffset val="100"/>
        <c:noMultiLvlLbl val="0"/>
      </c:catAx>
      <c:valAx>
        <c:axId val="59615468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455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2.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3615690</xdr:colOff>
      <xdr:row>1218</xdr:row>
      <xdr:rowOff>133350</xdr:rowOff>
    </xdr:from>
    <xdr:to>
      <xdr:col>1</xdr:col>
      <xdr:colOff>8187690</xdr:colOff>
      <xdr:row>1233</xdr:row>
      <xdr:rowOff>133350</xdr:rowOff>
    </xdr:to>
    <xdr:graphicFrame macro="">
      <xdr:nvGraphicFramePr>
        <xdr:cNvPr id="2" name="Chart 1">
          <a:extLst>
            <a:ext uri="{FF2B5EF4-FFF2-40B4-BE49-F238E27FC236}">
              <a16:creationId xmlns:a16="http://schemas.microsoft.com/office/drawing/2014/main" id="{6E1D01E7-A236-7173-2523-07ED899F6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240030</xdr:colOff>
      <xdr:row>1215</xdr:row>
      <xdr:rowOff>19050</xdr:rowOff>
    </xdr:from>
    <xdr:to>
      <xdr:col>15</xdr:col>
      <xdr:colOff>544830</xdr:colOff>
      <xdr:row>1230</xdr:row>
      <xdr:rowOff>19050</xdr:rowOff>
    </xdr:to>
    <xdr:graphicFrame macro="">
      <xdr:nvGraphicFramePr>
        <xdr:cNvPr id="3" name="Chart 2">
          <a:extLst>
            <a:ext uri="{FF2B5EF4-FFF2-40B4-BE49-F238E27FC236}">
              <a16:creationId xmlns:a16="http://schemas.microsoft.com/office/drawing/2014/main" id="{E3CD64B7-6C32-C577-FD66-3D6BF5ED5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198120</xdr:colOff>
      <xdr:row>851</xdr:row>
      <xdr:rowOff>49530</xdr:rowOff>
    </xdr:from>
    <xdr:to>
      <xdr:col>20</xdr:col>
      <xdr:colOff>518160</xdr:colOff>
      <xdr:row>865</xdr:row>
      <xdr:rowOff>148590</xdr:rowOff>
    </xdr:to>
    <xdr:graphicFrame macro="">
      <xdr:nvGraphicFramePr>
        <xdr:cNvPr id="5" name="Chart 4">
          <a:extLst>
            <a:ext uri="{FF2B5EF4-FFF2-40B4-BE49-F238E27FC236}">
              <a16:creationId xmlns:a16="http://schemas.microsoft.com/office/drawing/2014/main" id="{5E5DAAD9-A6F5-9460-0BE7-51D898789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373380</xdr:colOff>
      <xdr:row>2</xdr:row>
      <xdr:rowOff>0</xdr:rowOff>
    </xdr:from>
    <xdr:to>
      <xdr:col>1</xdr:col>
      <xdr:colOff>2407920</xdr:colOff>
      <xdr:row>4</xdr:row>
      <xdr:rowOff>0</xdr:rowOff>
    </xdr:to>
    <xdr:pic>
      <xdr:nvPicPr>
        <xdr:cNvPr id="2" name="Picture 1">
          <a:extLst>
            <a:ext uri="{FF2B5EF4-FFF2-40B4-BE49-F238E27FC236}">
              <a16:creationId xmlns:a16="http://schemas.microsoft.com/office/drawing/2014/main" id="{EF7369A9-5ED2-252F-AB45-A6699C4CF2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7680" y="342900"/>
          <a:ext cx="2034540" cy="1021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6</xdr:row>
      <xdr:rowOff>121920</xdr:rowOff>
    </xdr:from>
    <xdr:to>
      <xdr:col>11</xdr:col>
      <xdr:colOff>68580</xdr:colOff>
      <xdr:row>16</xdr:row>
      <xdr:rowOff>60960</xdr:rowOff>
    </xdr:to>
    <xdr:graphicFrame macro="">
      <xdr:nvGraphicFramePr>
        <xdr:cNvPr id="3" name="Chart 2">
          <a:extLst>
            <a:ext uri="{FF2B5EF4-FFF2-40B4-BE49-F238E27FC236}">
              <a16:creationId xmlns:a16="http://schemas.microsoft.com/office/drawing/2014/main" id="{732CBDF9-421E-4D3B-98EB-8A7C294E7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144780</xdr:colOff>
      <xdr:row>19</xdr:row>
      <xdr:rowOff>114300</xdr:rowOff>
    </xdr:from>
    <xdr:to>
      <xdr:col>11</xdr:col>
      <xdr:colOff>0</xdr:colOff>
      <xdr:row>26</xdr:row>
      <xdr:rowOff>0</xdr:rowOff>
    </xdr:to>
    <xdr:graphicFrame macro="">
      <xdr:nvGraphicFramePr>
        <xdr:cNvPr id="4" name="Chart 3">
          <a:extLst>
            <a:ext uri="{FF2B5EF4-FFF2-40B4-BE49-F238E27FC236}">
              <a16:creationId xmlns:a16="http://schemas.microsoft.com/office/drawing/2014/main" id="{D5871883-9892-42FE-A48C-370FEF374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53340</xdr:colOff>
      <xdr:row>28</xdr:row>
      <xdr:rowOff>114300</xdr:rowOff>
    </xdr:from>
    <xdr:to>
      <xdr:col>11</xdr:col>
      <xdr:colOff>30480</xdr:colOff>
      <xdr:row>39</xdr:row>
      <xdr:rowOff>60960</xdr:rowOff>
    </xdr:to>
    <xdr:graphicFrame macro="">
      <xdr:nvGraphicFramePr>
        <xdr:cNvPr id="5" name="Chart 4">
          <a:extLst>
            <a:ext uri="{FF2B5EF4-FFF2-40B4-BE49-F238E27FC236}">
              <a16:creationId xmlns:a16="http://schemas.microsoft.com/office/drawing/2014/main" id="{8902F38D-A5CD-4556-AB83-BA89141D1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creener.in/"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8F8C-30FF-40C6-8EBA-3EACE75BB81B}">
  <dimension ref="A3:V1242"/>
  <sheetViews>
    <sheetView showGridLines="0" workbookViewId="0">
      <selection activeCell="B3" sqref="B3"/>
    </sheetView>
  </sheetViews>
  <sheetFormatPr defaultRowHeight="14.4"/>
  <cols>
    <col min="1" max="1" width="16.77734375" customWidth="1"/>
    <col min="2" max="2" width="132.6640625" customWidth="1"/>
    <col min="4" max="4" width="9.88671875" bestFit="1" customWidth="1"/>
    <col min="5" max="6" width="11.5546875" bestFit="1" customWidth="1"/>
    <col min="15" max="15" width="10.44140625" bestFit="1" customWidth="1"/>
    <col min="18" max="18" width="5.6640625" customWidth="1"/>
    <col min="19" max="19" width="41.109375" bestFit="1" customWidth="1"/>
    <col min="20" max="20" width="15.21875" bestFit="1" customWidth="1"/>
    <col min="21" max="21" width="17.77734375" bestFit="1" customWidth="1"/>
    <col min="22" max="22" width="13.21875" bestFit="1" customWidth="1"/>
  </cols>
  <sheetData>
    <row r="3" spans="1:10" ht="15.6">
      <c r="A3" t="s">
        <v>81</v>
      </c>
      <c r="B3" s="68" t="s">
        <v>165</v>
      </c>
      <c r="D3" s="33" t="s">
        <v>103</v>
      </c>
      <c r="E3" s="44" t="s">
        <v>104</v>
      </c>
      <c r="G3" s="33" t="s">
        <v>49</v>
      </c>
      <c r="H3" s="33"/>
      <c r="I3" s="33"/>
      <c r="J3" s="33"/>
    </row>
    <row r="4" spans="1:10">
      <c r="D4" s="34">
        <v>46014</v>
      </c>
      <c r="E4">
        <v>2.920318</v>
      </c>
      <c r="F4">
        <v>1000000</v>
      </c>
      <c r="G4" s="35">
        <v>1225</v>
      </c>
      <c r="H4" s="36"/>
      <c r="I4" s="36"/>
      <c r="J4" s="37"/>
    </row>
    <row r="5" spans="1:10">
      <c r="D5" s="34">
        <v>46013</v>
      </c>
      <c r="E5">
        <v>2.4058090000000001</v>
      </c>
      <c r="G5" s="35">
        <v>1233.2</v>
      </c>
      <c r="H5" s="36"/>
      <c r="I5" s="36"/>
      <c r="J5" s="37"/>
    </row>
    <row r="6" spans="1:10">
      <c r="D6" s="34">
        <v>46010</v>
      </c>
      <c r="E6">
        <v>5.0550470000000001</v>
      </c>
      <c r="G6" s="35">
        <v>1230.5999999999999</v>
      </c>
      <c r="H6" s="36"/>
      <c r="I6" s="36"/>
      <c r="J6" s="37"/>
    </row>
    <row r="7" spans="1:10">
      <c r="D7" s="34">
        <v>46009</v>
      </c>
      <c r="E7">
        <v>3.441592</v>
      </c>
      <c r="G7" s="35">
        <v>1229.8</v>
      </c>
      <c r="H7" s="36"/>
      <c r="I7" s="36"/>
      <c r="J7" s="37"/>
    </row>
    <row r="8" spans="1:10">
      <c r="D8" s="34">
        <v>46008</v>
      </c>
      <c r="E8">
        <v>5.1471809999999998</v>
      </c>
      <c r="G8" s="35">
        <v>1224.7</v>
      </c>
      <c r="H8" s="36"/>
      <c r="I8" s="36"/>
      <c r="J8" s="37"/>
    </row>
    <row r="9" spans="1:10">
      <c r="D9" s="34">
        <v>46007</v>
      </c>
      <c r="E9">
        <v>11.542047999999999</v>
      </c>
      <c r="G9" s="35">
        <v>1219.5999999999999</v>
      </c>
      <c r="H9" s="36"/>
      <c r="I9" s="36"/>
      <c r="J9" s="37"/>
    </row>
    <row r="10" spans="1:10">
      <c r="D10" s="34">
        <v>46006</v>
      </c>
      <c r="E10">
        <v>1.6344719999999999</v>
      </c>
      <c r="G10" s="35">
        <v>1284.8</v>
      </c>
      <c r="H10" s="36"/>
      <c r="I10" s="36"/>
      <c r="J10" s="37"/>
    </row>
    <row r="11" spans="1:10">
      <c r="D11" s="34">
        <v>46003</v>
      </c>
      <c r="E11">
        <v>2.2810779999999999</v>
      </c>
      <c r="G11" s="35">
        <v>1286.0999999999999</v>
      </c>
      <c r="H11" s="36"/>
      <c r="I11" s="36"/>
      <c r="J11" s="37"/>
    </row>
    <row r="12" spans="1:10">
      <c r="D12" s="34">
        <v>46002</v>
      </c>
      <c r="E12">
        <v>2.017404</v>
      </c>
      <c r="G12" s="35">
        <v>1272.7</v>
      </c>
      <c r="H12" s="36"/>
      <c r="I12" s="36"/>
      <c r="J12" s="37"/>
    </row>
    <row r="13" spans="1:10">
      <c r="D13" s="34">
        <v>46001</v>
      </c>
      <c r="E13">
        <v>2.9287459999999998</v>
      </c>
      <c r="G13" s="35">
        <v>1278.5999999999999</v>
      </c>
      <c r="H13" s="36"/>
      <c r="I13" s="36"/>
      <c r="J13" s="37"/>
    </row>
    <row r="14" spans="1:10">
      <c r="D14" s="34">
        <v>46000</v>
      </c>
      <c r="E14">
        <v>4.2392789999999998</v>
      </c>
      <c r="G14" s="35">
        <v>1275.9000000000001</v>
      </c>
      <c r="H14" s="36"/>
      <c r="I14" s="36"/>
      <c r="J14" s="37"/>
    </row>
    <row r="15" spans="1:10">
      <c r="D15" s="34">
        <v>45999</v>
      </c>
      <c r="E15">
        <v>2.9694780000000001</v>
      </c>
      <c r="G15" s="35">
        <v>1273.8</v>
      </c>
      <c r="H15" s="36"/>
      <c r="I15" s="36"/>
      <c r="J15" s="37"/>
    </row>
    <row r="16" spans="1:10">
      <c r="D16" s="34">
        <v>45996</v>
      </c>
      <c r="E16">
        <v>2.7282139999999999</v>
      </c>
      <c r="G16" s="35">
        <v>1282.5</v>
      </c>
      <c r="H16" s="36"/>
      <c r="I16" s="36"/>
      <c r="J16" s="37"/>
    </row>
    <row r="17" spans="4:10">
      <c r="D17" s="34">
        <v>45995</v>
      </c>
      <c r="E17">
        <v>3.2161080000000002</v>
      </c>
      <c r="G17" s="35">
        <v>1280</v>
      </c>
      <c r="H17" s="36"/>
      <c r="I17" s="36"/>
      <c r="J17" s="37"/>
    </row>
    <row r="18" spans="4:10">
      <c r="D18" s="34">
        <v>45994</v>
      </c>
      <c r="E18">
        <v>3.5827939999999998</v>
      </c>
      <c r="G18" s="35">
        <v>1270.7</v>
      </c>
      <c r="H18" s="36"/>
      <c r="I18" s="36"/>
      <c r="J18" s="37"/>
    </row>
    <row r="19" spans="4:10">
      <c r="D19" s="34">
        <v>45993</v>
      </c>
      <c r="E19">
        <v>8.1153469999999999</v>
      </c>
      <c r="G19" s="35">
        <v>1258</v>
      </c>
      <c r="H19" s="36"/>
      <c r="I19" s="36"/>
      <c r="J19" s="37"/>
    </row>
    <row r="20" spans="4:10">
      <c r="D20" s="34">
        <v>45992</v>
      </c>
      <c r="E20">
        <v>4.0980160000000003</v>
      </c>
      <c r="G20" s="35">
        <v>1275.7</v>
      </c>
      <c r="H20" s="36"/>
      <c r="I20" s="36"/>
      <c r="J20" s="37"/>
    </row>
    <row r="21" spans="4:10">
      <c r="D21" s="34">
        <v>45989</v>
      </c>
      <c r="E21">
        <v>3.0936360000000001</v>
      </c>
      <c r="G21" s="35">
        <v>1279.7</v>
      </c>
      <c r="H21" s="36"/>
      <c r="I21" s="36"/>
      <c r="J21" s="37"/>
    </row>
    <row r="22" spans="4:10">
      <c r="D22" s="34">
        <v>45988</v>
      </c>
      <c r="E22">
        <v>5.9247059999999996</v>
      </c>
      <c r="G22" s="35">
        <v>1287.3</v>
      </c>
      <c r="H22" s="36"/>
      <c r="I22" s="36"/>
      <c r="J22" s="37"/>
    </row>
    <row r="23" spans="4:10">
      <c r="D23" s="34">
        <v>45987</v>
      </c>
      <c r="E23">
        <v>4.8420209999999999</v>
      </c>
      <c r="G23" s="35">
        <v>1290.2</v>
      </c>
      <c r="H23" s="36"/>
      <c r="I23" s="36"/>
      <c r="J23" s="37"/>
    </row>
    <row r="24" spans="4:10">
      <c r="D24" s="34">
        <v>45986</v>
      </c>
      <c r="E24">
        <v>5.2901559999999996</v>
      </c>
      <c r="G24" s="35">
        <v>1266.3</v>
      </c>
      <c r="H24" s="36"/>
      <c r="I24" s="36"/>
      <c r="J24" s="37"/>
    </row>
    <row r="25" spans="4:10">
      <c r="D25" s="34">
        <v>45985</v>
      </c>
      <c r="E25">
        <v>10.491953000000001</v>
      </c>
      <c r="G25" s="35">
        <v>1269</v>
      </c>
      <c r="H25" s="36"/>
      <c r="I25" s="36"/>
      <c r="J25" s="37"/>
    </row>
    <row r="26" spans="4:10">
      <c r="D26" s="34">
        <v>45982</v>
      </c>
      <c r="E26">
        <v>6.3635929999999998</v>
      </c>
      <c r="G26" s="35">
        <v>1275.8</v>
      </c>
      <c r="H26" s="36"/>
      <c r="I26" s="36"/>
      <c r="J26" s="37"/>
    </row>
    <row r="27" spans="4:10">
      <c r="D27" s="34">
        <v>45981</v>
      </c>
      <c r="E27">
        <v>4.6175940000000004</v>
      </c>
      <c r="G27" s="35">
        <v>1285.2</v>
      </c>
      <c r="H27" s="36"/>
      <c r="I27" s="36"/>
      <c r="J27" s="37"/>
    </row>
    <row r="28" spans="4:10">
      <c r="D28" s="34">
        <v>45980</v>
      </c>
      <c r="E28">
        <v>4.1012880000000003</v>
      </c>
      <c r="G28" s="35">
        <v>1270.4000000000001</v>
      </c>
      <c r="H28" s="36"/>
      <c r="I28" s="36"/>
      <c r="J28" s="37"/>
    </row>
    <row r="29" spans="4:10">
      <c r="D29" s="34">
        <v>45979</v>
      </c>
      <c r="E29">
        <v>10.175969</v>
      </c>
      <c r="G29" s="35">
        <v>1265.4000000000001</v>
      </c>
      <c r="H29" s="36"/>
      <c r="I29" s="36"/>
      <c r="J29" s="37"/>
    </row>
    <row r="30" spans="4:10">
      <c r="D30" s="34">
        <v>45978</v>
      </c>
      <c r="E30">
        <v>4.0880260000000002</v>
      </c>
      <c r="G30" s="35">
        <v>1249.5999999999999</v>
      </c>
      <c r="H30" s="36"/>
      <c r="I30" s="36"/>
      <c r="J30" s="37"/>
    </row>
    <row r="31" spans="4:10">
      <c r="D31" s="34">
        <v>45975</v>
      </c>
      <c r="E31">
        <v>5.1977399999999996</v>
      </c>
      <c r="G31" s="35">
        <v>1241.5999999999999</v>
      </c>
      <c r="H31" s="36"/>
      <c r="I31" s="36"/>
      <c r="J31" s="37"/>
    </row>
    <row r="32" spans="4:10">
      <c r="D32" s="34">
        <v>45974</v>
      </c>
      <c r="E32">
        <v>3.3452310000000001</v>
      </c>
      <c r="G32" s="35">
        <v>1225.2</v>
      </c>
      <c r="H32" s="36"/>
      <c r="I32" s="36"/>
      <c r="J32" s="37"/>
    </row>
    <row r="33" spans="4:10">
      <c r="D33" s="34">
        <v>45973</v>
      </c>
      <c r="E33">
        <v>6.7825129999999998</v>
      </c>
      <c r="G33" s="35">
        <v>1221.5999999999999</v>
      </c>
      <c r="H33" s="36"/>
      <c r="I33" s="36"/>
      <c r="J33" s="37"/>
    </row>
    <row r="34" spans="4:10">
      <c r="D34" s="34">
        <v>45972</v>
      </c>
      <c r="E34">
        <v>5.6154529999999996</v>
      </c>
      <c r="G34" s="35">
        <v>1222.5</v>
      </c>
      <c r="H34" s="36"/>
      <c r="I34" s="36"/>
      <c r="J34" s="37"/>
    </row>
    <row r="35" spans="4:10">
      <c r="D35" s="34">
        <v>45971</v>
      </c>
      <c r="E35">
        <v>4.140568</v>
      </c>
      <c r="G35" s="35">
        <v>1217</v>
      </c>
      <c r="H35" s="36"/>
      <c r="I35" s="36"/>
      <c r="J35" s="37"/>
    </row>
    <row r="36" spans="4:10">
      <c r="D36" s="34">
        <v>45968</v>
      </c>
      <c r="E36">
        <v>3.4614660000000002</v>
      </c>
      <c r="G36" s="35">
        <v>1222.8</v>
      </c>
      <c r="H36" s="36"/>
      <c r="I36" s="36"/>
      <c r="J36" s="37"/>
    </row>
    <row r="37" spans="4:10">
      <c r="D37" s="34">
        <v>45967</v>
      </c>
      <c r="E37">
        <v>3.7337210000000001</v>
      </c>
      <c r="G37" s="35">
        <v>1228.5</v>
      </c>
      <c r="H37" s="36"/>
      <c r="I37" s="36"/>
      <c r="J37" s="37"/>
    </row>
    <row r="38" spans="4:10">
      <c r="D38" s="34">
        <v>45965</v>
      </c>
      <c r="E38">
        <v>3.2993450000000002</v>
      </c>
      <c r="G38" s="35">
        <v>1226.5999999999999</v>
      </c>
      <c r="H38" s="36"/>
      <c r="I38" s="36"/>
      <c r="J38" s="37"/>
    </row>
    <row r="39" spans="4:10">
      <c r="D39" s="34">
        <v>45964</v>
      </c>
      <c r="E39">
        <v>6.1189070000000001</v>
      </c>
      <c r="G39" s="35">
        <v>1233.7</v>
      </c>
      <c r="H39" s="36"/>
      <c r="I39" s="36"/>
      <c r="J39" s="37"/>
    </row>
    <row r="40" spans="4:10">
      <c r="D40" s="34">
        <v>45961</v>
      </c>
      <c r="E40">
        <v>4.1066070000000003</v>
      </c>
      <c r="G40" s="35">
        <v>1232.8</v>
      </c>
      <c r="H40" s="36"/>
      <c r="I40" s="36"/>
      <c r="J40" s="37"/>
    </row>
    <row r="41" spans="4:10">
      <c r="D41" s="34">
        <v>45960</v>
      </c>
      <c r="E41">
        <v>4.0175320000000001</v>
      </c>
      <c r="G41" s="35">
        <v>1238.5999999999999</v>
      </c>
      <c r="H41" s="36"/>
      <c r="I41" s="36"/>
      <c r="J41" s="37"/>
    </row>
    <row r="42" spans="4:10">
      <c r="D42" s="34">
        <v>45959</v>
      </c>
      <c r="E42">
        <v>4.5788250000000001</v>
      </c>
      <c r="G42" s="35">
        <v>1248.8</v>
      </c>
      <c r="H42" s="36"/>
      <c r="I42" s="36"/>
      <c r="J42" s="37"/>
    </row>
    <row r="43" spans="4:10">
      <c r="D43" s="34">
        <v>45958</v>
      </c>
      <c r="E43">
        <v>8.1467770000000002</v>
      </c>
      <c r="G43" s="35">
        <v>1246.3</v>
      </c>
      <c r="H43" s="36"/>
      <c r="I43" s="36"/>
      <c r="J43" s="37"/>
    </row>
    <row r="44" spans="4:10">
      <c r="D44" s="34">
        <v>45957</v>
      </c>
      <c r="E44">
        <v>6.1850719999999999</v>
      </c>
      <c r="G44" s="35">
        <v>1254.0999999999999</v>
      </c>
      <c r="H44" s="36"/>
      <c r="I44" s="36"/>
      <c r="J44" s="37"/>
    </row>
    <row r="45" spans="4:10">
      <c r="D45" s="34">
        <v>45954</v>
      </c>
      <c r="E45">
        <v>4.8820459999999999</v>
      </c>
      <c r="G45" s="35">
        <v>1241.9000000000001</v>
      </c>
      <c r="H45" s="36"/>
      <c r="I45" s="36"/>
      <c r="J45" s="37"/>
    </row>
    <row r="46" spans="4:10">
      <c r="D46" s="34">
        <v>45953</v>
      </c>
      <c r="E46">
        <v>14.611221</v>
      </c>
      <c r="G46" s="35">
        <v>1258.8</v>
      </c>
      <c r="H46" s="36"/>
      <c r="I46" s="36"/>
      <c r="J46" s="37"/>
    </row>
    <row r="47" spans="4:10">
      <c r="D47" s="34">
        <v>45951</v>
      </c>
      <c r="E47">
        <v>1.940248</v>
      </c>
      <c r="G47" s="35">
        <v>1237.3</v>
      </c>
      <c r="H47" s="36"/>
      <c r="I47" s="36"/>
      <c r="J47" s="37"/>
    </row>
    <row r="48" spans="4:10">
      <c r="D48" s="34">
        <v>45950</v>
      </c>
      <c r="E48">
        <v>7.4186160000000001</v>
      </c>
      <c r="G48" s="35">
        <v>1226</v>
      </c>
      <c r="H48" s="36"/>
      <c r="I48" s="36"/>
      <c r="J48" s="37"/>
    </row>
    <row r="49" spans="4:10">
      <c r="D49" s="34">
        <v>45947</v>
      </c>
      <c r="E49">
        <v>6.4044140000000001</v>
      </c>
      <c r="G49" s="35">
        <v>1200.2</v>
      </c>
      <c r="H49" s="36"/>
      <c r="I49" s="36"/>
      <c r="J49" s="37"/>
    </row>
    <row r="50" spans="4:10">
      <c r="D50" s="34">
        <v>45946</v>
      </c>
      <c r="E50">
        <v>17.747171000000002</v>
      </c>
      <c r="G50" s="35">
        <v>1196.3</v>
      </c>
      <c r="H50" s="36"/>
      <c r="I50" s="36"/>
      <c r="J50" s="37"/>
    </row>
    <row r="51" spans="4:10">
      <c r="D51" s="34">
        <v>45945</v>
      </c>
      <c r="E51">
        <v>6.3281419999999997</v>
      </c>
      <c r="G51" s="35">
        <v>1169.5999999999999</v>
      </c>
      <c r="H51" s="36"/>
      <c r="I51" s="36"/>
      <c r="J51" s="37"/>
    </row>
    <row r="52" spans="4:10">
      <c r="D52" s="34">
        <v>45944</v>
      </c>
      <c r="E52">
        <v>5.7425379999999997</v>
      </c>
      <c r="G52" s="35">
        <v>1176.8</v>
      </c>
      <c r="H52" s="36"/>
      <c r="I52" s="36"/>
      <c r="J52" s="37"/>
    </row>
    <row r="53" spans="4:10">
      <c r="D53" s="34">
        <v>45943</v>
      </c>
      <c r="E53">
        <v>4.1384480000000003</v>
      </c>
      <c r="G53" s="35">
        <v>1189.5999999999999</v>
      </c>
      <c r="H53" s="36"/>
      <c r="I53" s="36"/>
      <c r="J53" s="37"/>
    </row>
    <row r="54" spans="4:10">
      <c r="D54" s="34">
        <v>45940</v>
      </c>
      <c r="E54">
        <v>6.9330350000000003</v>
      </c>
      <c r="G54" s="35">
        <v>1180.4000000000001</v>
      </c>
      <c r="H54" s="36"/>
      <c r="I54" s="36"/>
      <c r="J54" s="37"/>
    </row>
    <row r="55" spans="4:10">
      <c r="D55" s="34">
        <v>45939</v>
      </c>
      <c r="E55">
        <v>7.1946510000000004</v>
      </c>
      <c r="G55" s="35">
        <v>1167.4000000000001</v>
      </c>
      <c r="H55" s="36"/>
      <c r="I55" s="36"/>
      <c r="J55" s="37"/>
    </row>
    <row r="56" spans="4:10">
      <c r="D56" s="34">
        <v>45938</v>
      </c>
      <c r="E56">
        <v>5.1604299999999999</v>
      </c>
      <c r="G56" s="35">
        <v>1180.5999999999999</v>
      </c>
      <c r="H56" s="36"/>
      <c r="I56" s="36"/>
      <c r="J56" s="37"/>
    </row>
    <row r="57" spans="4:10">
      <c r="D57" s="34">
        <v>45937</v>
      </c>
      <c r="E57">
        <v>8.6201559999999997</v>
      </c>
      <c r="G57" s="35">
        <v>1186.8</v>
      </c>
      <c r="H57" s="36"/>
      <c r="I57" s="36"/>
      <c r="J57" s="37"/>
    </row>
    <row r="58" spans="4:10">
      <c r="D58" s="34">
        <v>45936</v>
      </c>
      <c r="E58">
        <v>20.128505000000001</v>
      </c>
      <c r="G58" s="35">
        <v>1212.8</v>
      </c>
      <c r="H58" s="36"/>
      <c r="I58" s="36"/>
      <c r="J58" s="37"/>
    </row>
    <row r="59" spans="4:10">
      <c r="D59" s="34">
        <v>45933</v>
      </c>
      <c r="E59">
        <v>11.095015</v>
      </c>
      <c r="G59" s="35">
        <v>1181</v>
      </c>
      <c r="H59" s="36"/>
      <c r="I59" s="36"/>
      <c r="J59" s="37"/>
    </row>
    <row r="60" spans="4:10">
      <c r="D60" s="34">
        <v>45931</v>
      </c>
      <c r="E60">
        <v>9.6550089999999997</v>
      </c>
      <c r="G60" s="35">
        <v>1159.5</v>
      </c>
      <c r="H60" s="36"/>
      <c r="I60" s="36"/>
      <c r="J60" s="37"/>
    </row>
    <row r="61" spans="4:10">
      <c r="D61" s="34">
        <v>45930</v>
      </c>
      <c r="E61">
        <v>8.165203</v>
      </c>
      <c r="G61" s="35">
        <v>1131.5999999999999</v>
      </c>
      <c r="H61" s="36"/>
      <c r="I61" s="36"/>
      <c r="J61" s="37"/>
    </row>
    <row r="62" spans="4:10">
      <c r="D62" s="34">
        <v>45929</v>
      </c>
      <c r="E62">
        <v>9.6938809999999993</v>
      </c>
      <c r="G62" s="35">
        <v>1132.2</v>
      </c>
      <c r="H62" s="36"/>
      <c r="I62" s="36"/>
      <c r="J62" s="37"/>
    </row>
    <row r="63" spans="4:10">
      <c r="D63" s="34">
        <v>45926</v>
      </c>
      <c r="E63">
        <v>5.618932</v>
      </c>
      <c r="G63" s="35">
        <v>1154</v>
      </c>
      <c r="H63" s="36"/>
      <c r="I63" s="36"/>
      <c r="J63" s="37"/>
    </row>
    <row r="64" spans="4:10">
      <c r="D64" s="34">
        <v>45925</v>
      </c>
      <c r="E64">
        <v>11.188302</v>
      </c>
      <c r="G64" s="35">
        <v>1166.5999999999999</v>
      </c>
      <c r="H64" s="36"/>
      <c r="I64" s="36"/>
      <c r="J64" s="37"/>
    </row>
    <row r="65" spans="4:10">
      <c r="D65" s="34">
        <v>45924</v>
      </c>
      <c r="E65">
        <v>12.812055000000001</v>
      </c>
      <c r="G65" s="35">
        <v>1158.9000000000001</v>
      </c>
      <c r="H65" s="36"/>
      <c r="I65" s="36"/>
      <c r="J65" s="37"/>
    </row>
    <row r="66" spans="4:10">
      <c r="D66" s="34">
        <v>45923</v>
      </c>
      <c r="E66">
        <v>16.079093</v>
      </c>
      <c r="G66" s="35">
        <v>1170.8</v>
      </c>
      <c r="H66" s="36"/>
      <c r="I66" s="36"/>
      <c r="J66" s="37"/>
    </row>
    <row r="67" spans="4:10">
      <c r="D67" s="34">
        <v>45922</v>
      </c>
      <c r="E67">
        <v>7.6898999999999997</v>
      </c>
      <c r="G67" s="35">
        <v>1144.4000000000001</v>
      </c>
      <c r="H67" s="36"/>
      <c r="I67" s="36"/>
      <c r="J67" s="37"/>
    </row>
    <row r="68" spans="4:10">
      <c r="D68" s="34">
        <v>45919</v>
      </c>
      <c r="E68">
        <v>8.9107319999999994</v>
      </c>
      <c r="G68" s="35">
        <v>1135.9000000000001</v>
      </c>
      <c r="H68" s="36"/>
      <c r="I68" s="36"/>
      <c r="J68" s="37"/>
    </row>
    <row r="69" spans="4:10">
      <c r="D69" s="34">
        <v>45918</v>
      </c>
      <c r="E69">
        <v>5.7130320000000001</v>
      </c>
      <c r="G69" s="35">
        <v>1133</v>
      </c>
      <c r="H69" s="36"/>
      <c r="I69" s="36"/>
      <c r="J69" s="37"/>
    </row>
    <row r="70" spans="4:10">
      <c r="D70" s="34">
        <v>45917</v>
      </c>
      <c r="E70">
        <v>5.5907390000000001</v>
      </c>
      <c r="G70" s="35">
        <v>1126</v>
      </c>
      <c r="H70" s="36"/>
      <c r="I70" s="36"/>
      <c r="J70" s="37"/>
    </row>
    <row r="71" spans="4:10">
      <c r="D71" s="34">
        <v>45916</v>
      </c>
      <c r="E71">
        <v>7.9656060000000002</v>
      </c>
      <c r="G71" s="35">
        <v>1121.2</v>
      </c>
      <c r="H71" s="36"/>
      <c r="I71" s="36"/>
      <c r="J71" s="37"/>
    </row>
    <row r="72" spans="4:10">
      <c r="D72" s="34">
        <v>45915</v>
      </c>
      <c r="E72">
        <v>3.8818069999999998</v>
      </c>
      <c r="G72" s="35">
        <v>1104.4000000000001</v>
      </c>
      <c r="H72" s="36"/>
      <c r="I72" s="36"/>
      <c r="J72" s="37"/>
    </row>
    <row r="73" spans="4:10">
      <c r="D73" s="34">
        <v>45912</v>
      </c>
      <c r="E73">
        <v>6.01485</v>
      </c>
      <c r="G73" s="35">
        <v>1105.3</v>
      </c>
      <c r="H73" s="36"/>
      <c r="I73" s="36"/>
      <c r="J73" s="37"/>
    </row>
    <row r="74" spans="4:10">
      <c r="D74" s="34">
        <v>45911</v>
      </c>
      <c r="E74">
        <v>5.2275390000000002</v>
      </c>
      <c r="G74" s="35">
        <v>1087.4000000000001</v>
      </c>
      <c r="H74" s="36"/>
      <c r="I74" s="36"/>
      <c r="J74" s="37"/>
    </row>
    <row r="75" spans="4:10">
      <c r="D75" s="34">
        <v>45910</v>
      </c>
      <c r="E75">
        <v>5.2410750000000004</v>
      </c>
      <c r="G75" s="35">
        <v>1070.0999999999999</v>
      </c>
      <c r="H75" s="36"/>
      <c r="I75" s="36"/>
      <c r="J75" s="37"/>
    </row>
    <row r="76" spans="4:10">
      <c r="D76" s="34">
        <v>45909</v>
      </c>
      <c r="E76">
        <v>4.3104189999999996</v>
      </c>
      <c r="G76" s="35">
        <v>1052.2</v>
      </c>
      <c r="H76" s="36"/>
      <c r="I76" s="36"/>
      <c r="J76" s="37"/>
    </row>
    <row r="77" spans="4:10">
      <c r="D77" s="34">
        <v>45908</v>
      </c>
      <c r="E77">
        <v>2.2601469999999999</v>
      </c>
      <c r="G77" s="35">
        <v>1055.5</v>
      </c>
      <c r="H77" s="36"/>
      <c r="I77" s="36"/>
      <c r="J77" s="37"/>
    </row>
    <row r="78" spans="4:10">
      <c r="D78" s="34">
        <v>45905</v>
      </c>
      <c r="E78">
        <v>2.8495889999999999</v>
      </c>
      <c r="G78" s="35">
        <v>1055.9000000000001</v>
      </c>
      <c r="H78" s="36"/>
      <c r="I78" s="36"/>
      <c r="J78" s="37"/>
    </row>
    <row r="79" spans="4:10">
      <c r="D79" s="34">
        <v>45904</v>
      </c>
      <c r="E79">
        <v>8.0884169999999997</v>
      </c>
      <c r="G79" s="35">
        <v>1050.4000000000001</v>
      </c>
      <c r="H79" s="36"/>
      <c r="I79" s="36"/>
      <c r="J79" s="37"/>
    </row>
    <row r="80" spans="4:10">
      <c r="D80" s="34">
        <v>45903</v>
      </c>
      <c r="E80">
        <v>8.3032959999999996</v>
      </c>
      <c r="G80" s="35">
        <v>1054.7</v>
      </c>
      <c r="H80" s="36"/>
      <c r="I80" s="36"/>
      <c r="J80" s="37"/>
    </row>
    <row r="81" spans="4:10">
      <c r="D81" s="34">
        <v>45902</v>
      </c>
      <c r="E81">
        <v>4.933541</v>
      </c>
      <c r="G81" s="35">
        <v>1056.2</v>
      </c>
      <c r="H81" s="36"/>
      <c r="I81" s="36"/>
      <c r="J81" s="37"/>
    </row>
    <row r="82" spans="4:10">
      <c r="D82" s="34">
        <v>45901</v>
      </c>
      <c r="E82">
        <v>3.190426</v>
      </c>
      <c r="G82" s="35">
        <v>1061.5</v>
      </c>
      <c r="H82" s="36"/>
      <c r="I82" s="36"/>
      <c r="J82" s="37"/>
    </row>
    <row r="83" spans="4:10">
      <c r="D83" s="34">
        <v>45898</v>
      </c>
      <c r="E83">
        <v>4.7180160000000004</v>
      </c>
      <c r="G83" s="35">
        <v>1045.2</v>
      </c>
      <c r="H83" s="36"/>
      <c r="I83" s="36"/>
      <c r="J83" s="37"/>
    </row>
    <row r="84" spans="4:10">
      <c r="D84" s="34">
        <v>45897</v>
      </c>
      <c r="E84">
        <v>8.5648029999999995</v>
      </c>
      <c r="G84" s="35">
        <v>1051.9000000000001</v>
      </c>
      <c r="H84" s="36"/>
      <c r="I84" s="36"/>
      <c r="J84" s="37"/>
    </row>
    <row r="85" spans="4:10">
      <c r="D85" s="34">
        <v>45895</v>
      </c>
      <c r="E85">
        <v>7.1976659999999999</v>
      </c>
      <c r="G85" s="35">
        <v>1050.0999999999999</v>
      </c>
      <c r="H85" s="36"/>
      <c r="I85" s="36"/>
      <c r="J85" s="37"/>
    </row>
    <row r="86" spans="4:10">
      <c r="D86" s="34">
        <v>45894</v>
      </c>
      <c r="E86">
        <v>2.7112780000000001</v>
      </c>
      <c r="G86" s="35">
        <v>1070</v>
      </c>
      <c r="H86" s="36"/>
      <c r="I86" s="36"/>
      <c r="J86" s="37"/>
    </row>
    <row r="87" spans="4:10">
      <c r="D87" s="34">
        <v>45891</v>
      </c>
      <c r="E87">
        <v>3.8537180000000002</v>
      </c>
      <c r="G87" s="35">
        <v>1070.9000000000001</v>
      </c>
      <c r="H87" s="36"/>
      <c r="I87" s="36"/>
      <c r="J87" s="37"/>
    </row>
    <row r="88" spans="4:10">
      <c r="D88" s="34">
        <v>45890</v>
      </c>
      <c r="E88">
        <v>6.4592619999999998</v>
      </c>
      <c r="G88" s="35">
        <v>1078.9000000000001</v>
      </c>
      <c r="H88" s="36"/>
      <c r="I88" s="36"/>
      <c r="J88" s="37"/>
    </row>
    <row r="89" spans="4:10">
      <c r="D89" s="34">
        <v>45889</v>
      </c>
      <c r="E89">
        <v>3.0347279999999999</v>
      </c>
      <c r="G89" s="35">
        <v>1080.2</v>
      </c>
      <c r="H89" s="36"/>
      <c r="I89" s="36"/>
      <c r="J89" s="37"/>
    </row>
    <row r="90" spans="4:10">
      <c r="D90" s="34">
        <v>45888</v>
      </c>
      <c r="E90">
        <v>5.6615310000000001</v>
      </c>
      <c r="G90" s="35">
        <v>1083.2</v>
      </c>
      <c r="H90" s="36"/>
      <c r="I90" s="36"/>
      <c r="J90" s="37"/>
    </row>
    <row r="91" spans="4:10">
      <c r="D91" s="34">
        <v>45887</v>
      </c>
      <c r="E91">
        <v>7.9649869999999998</v>
      </c>
      <c r="G91" s="35">
        <v>1082.5999999999999</v>
      </c>
      <c r="H91" s="36"/>
      <c r="I91" s="36"/>
      <c r="J91" s="37"/>
    </row>
    <row r="92" spans="4:10">
      <c r="D92" s="34">
        <v>45883</v>
      </c>
      <c r="E92">
        <v>6.7613050000000001</v>
      </c>
      <c r="G92" s="35">
        <v>1068.2</v>
      </c>
      <c r="H92" s="36"/>
      <c r="I92" s="36"/>
      <c r="J92" s="37"/>
    </row>
    <row r="93" spans="4:10">
      <c r="D93" s="34">
        <v>45882</v>
      </c>
      <c r="E93">
        <v>4.9667779999999997</v>
      </c>
      <c r="G93" s="35">
        <v>1066</v>
      </c>
      <c r="H93" s="36"/>
      <c r="I93" s="36"/>
      <c r="J93" s="37"/>
    </row>
    <row r="94" spans="4:10">
      <c r="D94" s="34">
        <v>45881</v>
      </c>
      <c r="E94">
        <v>4.5730250000000003</v>
      </c>
      <c r="G94" s="35">
        <v>1070</v>
      </c>
      <c r="H94" s="36"/>
      <c r="I94" s="36"/>
      <c r="J94" s="37"/>
    </row>
    <row r="95" spans="4:10">
      <c r="D95" s="34">
        <v>45880</v>
      </c>
      <c r="E95">
        <v>5.4527749999999999</v>
      </c>
      <c r="G95" s="35">
        <v>1073.3</v>
      </c>
      <c r="H95" s="36"/>
      <c r="I95" s="36"/>
      <c r="J95" s="37"/>
    </row>
    <row r="96" spans="4:10">
      <c r="D96" s="34">
        <v>45877</v>
      </c>
      <c r="E96">
        <v>5.0849029999999997</v>
      </c>
      <c r="G96" s="35">
        <v>1058.0999999999999</v>
      </c>
      <c r="H96" s="36"/>
      <c r="I96" s="36"/>
      <c r="J96" s="37"/>
    </row>
    <row r="97" spans="4:10">
      <c r="D97" s="34">
        <v>45876</v>
      </c>
      <c r="E97">
        <v>5.3211310000000003</v>
      </c>
      <c r="G97" s="35">
        <v>1076.2</v>
      </c>
      <c r="H97" s="36"/>
      <c r="I97" s="36"/>
      <c r="J97" s="37"/>
    </row>
    <row r="98" spans="4:10">
      <c r="D98" s="34">
        <v>45875</v>
      </c>
      <c r="E98">
        <v>4.2166509999999997</v>
      </c>
      <c r="G98" s="35">
        <v>1071</v>
      </c>
      <c r="H98" s="36"/>
      <c r="I98" s="36"/>
      <c r="J98" s="37"/>
    </row>
    <row r="99" spans="4:10">
      <c r="D99" s="34">
        <v>45874</v>
      </c>
      <c r="E99">
        <v>5.3180810000000003</v>
      </c>
      <c r="G99" s="35">
        <v>1070.8</v>
      </c>
      <c r="H99" s="36"/>
      <c r="I99" s="36"/>
      <c r="J99" s="37"/>
    </row>
    <row r="100" spans="4:10">
      <c r="D100" s="34">
        <v>45873</v>
      </c>
      <c r="E100">
        <v>4.4658449999999998</v>
      </c>
      <c r="G100" s="35">
        <v>1068.5999999999999</v>
      </c>
      <c r="H100" s="36"/>
      <c r="I100" s="36"/>
      <c r="J100" s="37"/>
    </row>
    <row r="101" spans="4:10">
      <c r="D101" s="34">
        <v>45870</v>
      </c>
      <c r="E101">
        <v>5.5454470000000002</v>
      </c>
      <c r="G101" s="35">
        <v>1062.4000000000001</v>
      </c>
      <c r="H101" s="36"/>
      <c r="I101" s="36"/>
      <c r="J101" s="37"/>
    </row>
    <row r="102" spans="4:10">
      <c r="D102" s="34">
        <v>45869</v>
      </c>
      <c r="E102">
        <v>7.6344130000000003</v>
      </c>
      <c r="G102" s="35">
        <v>1068.4000000000001</v>
      </c>
      <c r="H102" s="36"/>
      <c r="I102" s="36"/>
      <c r="J102" s="37"/>
    </row>
    <row r="103" spans="4:10">
      <c r="D103" s="34">
        <v>45868</v>
      </c>
      <c r="E103">
        <v>8.2474329999999991</v>
      </c>
      <c r="G103" s="35">
        <v>1073.3</v>
      </c>
      <c r="H103" s="36"/>
      <c r="I103" s="36"/>
      <c r="J103" s="37"/>
    </row>
    <row r="104" spans="4:10">
      <c r="D104" s="34">
        <v>45867</v>
      </c>
      <c r="E104">
        <v>15.599773000000001</v>
      </c>
      <c r="G104" s="35">
        <v>1064.2</v>
      </c>
      <c r="H104" s="36"/>
      <c r="I104" s="36"/>
      <c r="J104" s="37"/>
    </row>
    <row r="105" spans="4:10">
      <c r="D105" s="34">
        <v>45866</v>
      </c>
      <c r="E105">
        <v>9.0295570000000005</v>
      </c>
      <c r="G105" s="35">
        <v>1073.5999999999999</v>
      </c>
      <c r="H105" s="36"/>
      <c r="I105" s="36"/>
      <c r="J105" s="37"/>
    </row>
    <row r="106" spans="4:10">
      <c r="D106" s="34">
        <v>45863</v>
      </c>
      <c r="E106">
        <v>11.779887</v>
      </c>
      <c r="G106" s="35">
        <v>1086.0999999999999</v>
      </c>
      <c r="H106" s="36"/>
      <c r="I106" s="36"/>
      <c r="J106" s="37"/>
    </row>
    <row r="107" spans="4:10">
      <c r="D107" s="34">
        <v>45862</v>
      </c>
      <c r="E107">
        <v>9.9012089999999997</v>
      </c>
      <c r="G107" s="35">
        <v>1095.0999999999999</v>
      </c>
      <c r="H107" s="36"/>
      <c r="I107" s="36"/>
      <c r="J107" s="37"/>
    </row>
    <row r="108" spans="4:10">
      <c r="D108" s="34">
        <v>45861</v>
      </c>
      <c r="E108">
        <v>6.6339790000000001</v>
      </c>
      <c r="G108" s="35">
        <v>1104.8</v>
      </c>
      <c r="H108" s="36"/>
      <c r="I108" s="36"/>
      <c r="J108" s="37"/>
    </row>
    <row r="109" spans="4:10">
      <c r="D109" s="34">
        <v>45860</v>
      </c>
      <c r="E109">
        <v>9.9999570000000002</v>
      </c>
      <c r="G109" s="35">
        <v>1098</v>
      </c>
      <c r="H109" s="36"/>
      <c r="I109" s="36"/>
      <c r="J109" s="37"/>
    </row>
    <row r="110" spans="4:10">
      <c r="D110" s="34">
        <v>45859</v>
      </c>
      <c r="E110">
        <v>15.9055</v>
      </c>
      <c r="G110" s="35">
        <v>1099.5999999999999</v>
      </c>
      <c r="H110" s="36"/>
      <c r="I110" s="36"/>
      <c r="J110" s="37"/>
    </row>
    <row r="111" spans="4:10">
      <c r="D111" s="34">
        <v>45856</v>
      </c>
      <c r="E111">
        <v>38.053694999999998</v>
      </c>
      <c r="G111" s="35">
        <v>1099.3</v>
      </c>
      <c r="H111" s="36"/>
      <c r="I111" s="36"/>
      <c r="J111" s="37"/>
    </row>
    <row r="112" spans="4:10">
      <c r="D112" s="34">
        <v>45855</v>
      </c>
      <c r="E112">
        <v>5.6944280000000003</v>
      </c>
      <c r="G112" s="35">
        <v>1159.8</v>
      </c>
      <c r="H112" s="36"/>
      <c r="I112" s="36"/>
      <c r="J112" s="37"/>
    </row>
    <row r="113" spans="4:10">
      <c r="D113" s="34">
        <v>45854</v>
      </c>
      <c r="E113">
        <v>4.3882789999999998</v>
      </c>
      <c r="G113" s="35">
        <v>1168.4000000000001</v>
      </c>
      <c r="H113" s="36"/>
      <c r="I113" s="36"/>
      <c r="J113" s="37"/>
    </row>
    <row r="114" spans="4:10">
      <c r="D114" s="34">
        <v>45853</v>
      </c>
      <c r="E114">
        <v>4.7767559999999998</v>
      </c>
      <c r="G114" s="35">
        <v>1165.9000000000001</v>
      </c>
      <c r="H114" s="36"/>
      <c r="I114" s="36"/>
      <c r="J114" s="37"/>
    </row>
    <row r="115" spans="4:10">
      <c r="D115" s="34">
        <v>45852</v>
      </c>
      <c r="E115">
        <v>4.7725020000000002</v>
      </c>
      <c r="G115" s="35">
        <v>1172.7</v>
      </c>
      <c r="H115" s="36"/>
      <c r="I115" s="36"/>
      <c r="J115" s="37"/>
    </row>
    <row r="116" spans="4:10">
      <c r="D116" s="34">
        <v>45849</v>
      </c>
      <c r="E116">
        <v>4.4686539999999999</v>
      </c>
      <c r="G116" s="35">
        <v>1173.8</v>
      </c>
      <c r="H116" s="36"/>
      <c r="I116" s="36"/>
      <c r="J116" s="37"/>
    </row>
    <row r="117" spans="4:10">
      <c r="D117" s="34">
        <v>45848</v>
      </c>
      <c r="E117">
        <v>4.3397550000000003</v>
      </c>
      <c r="G117" s="35">
        <v>1164.3</v>
      </c>
      <c r="H117" s="36"/>
      <c r="I117" s="36"/>
      <c r="J117" s="37"/>
    </row>
    <row r="118" spans="4:10">
      <c r="D118" s="34">
        <v>45847</v>
      </c>
      <c r="E118">
        <v>8.6747949999999996</v>
      </c>
      <c r="G118" s="35">
        <v>1164.7</v>
      </c>
      <c r="H118" s="36"/>
      <c r="I118" s="36"/>
      <c r="J118" s="37"/>
    </row>
    <row r="119" spans="4:10">
      <c r="D119" s="34">
        <v>45846</v>
      </c>
      <c r="E119">
        <v>9.9736189999999993</v>
      </c>
      <c r="G119" s="35">
        <v>1165.4000000000001</v>
      </c>
      <c r="H119" s="36"/>
      <c r="I119" s="36"/>
      <c r="J119" s="37"/>
    </row>
    <row r="120" spans="4:10">
      <c r="D120" s="34">
        <v>45845</v>
      </c>
      <c r="E120">
        <v>5.7834019999999997</v>
      </c>
      <c r="G120" s="35">
        <v>1175.0999999999999</v>
      </c>
      <c r="H120" s="36"/>
      <c r="I120" s="36"/>
      <c r="J120" s="37"/>
    </row>
    <row r="121" spans="4:10">
      <c r="D121" s="34">
        <v>45842</v>
      </c>
      <c r="E121">
        <v>3.926186</v>
      </c>
      <c r="G121" s="35">
        <v>1177.5999999999999</v>
      </c>
      <c r="H121" s="36"/>
      <c r="I121" s="36"/>
      <c r="J121" s="37"/>
    </row>
    <row r="122" spans="4:10">
      <c r="D122" s="34">
        <v>45841</v>
      </c>
      <c r="E122">
        <v>6.2371850000000002</v>
      </c>
      <c r="G122" s="35">
        <v>1171.0999999999999</v>
      </c>
      <c r="H122" s="36"/>
      <c r="I122" s="36"/>
      <c r="J122" s="37"/>
    </row>
    <row r="123" spans="4:10">
      <c r="D123" s="34">
        <v>45840</v>
      </c>
      <c r="E123">
        <v>5.4710999999999999</v>
      </c>
      <c r="G123" s="35">
        <v>1175.3</v>
      </c>
      <c r="H123" s="36"/>
      <c r="I123" s="36"/>
      <c r="J123" s="37"/>
    </row>
    <row r="124" spans="4:10">
      <c r="D124" s="34">
        <v>45839</v>
      </c>
      <c r="E124">
        <v>8.7021979999999992</v>
      </c>
      <c r="G124" s="35">
        <v>1173.3</v>
      </c>
      <c r="H124" s="36"/>
      <c r="I124" s="36"/>
      <c r="J124" s="37"/>
    </row>
    <row r="125" spans="4:10">
      <c r="D125" s="34">
        <v>45838</v>
      </c>
      <c r="E125">
        <v>6.5598720000000004</v>
      </c>
      <c r="G125" s="35">
        <v>1199.2</v>
      </c>
      <c r="H125" s="36"/>
      <c r="I125" s="36"/>
      <c r="J125" s="37"/>
    </row>
    <row r="126" spans="4:10">
      <c r="D126" s="34">
        <v>45835</v>
      </c>
      <c r="E126">
        <v>6.0682739999999997</v>
      </c>
      <c r="G126" s="35">
        <v>1225.0999999999999</v>
      </c>
      <c r="H126" s="36"/>
      <c r="I126" s="36"/>
      <c r="J126" s="37"/>
    </row>
    <row r="127" spans="4:10">
      <c r="D127" s="34">
        <v>45834</v>
      </c>
      <c r="E127">
        <v>8.6784479999999995</v>
      </c>
      <c r="G127" s="35">
        <v>1233.5</v>
      </c>
      <c r="H127" s="36"/>
      <c r="I127" s="36"/>
      <c r="J127" s="37"/>
    </row>
    <row r="128" spans="4:10">
      <c r="D128" s="34">
        <v>45833</v>
      </c>
      <c r="E128">
        <v>4.2292589999999999</v>
      </c>
      <c r="G128" s="35">
        <v>1213.3</v>
      </c>
      <c r="H128" s="36"/>
      <c r="I128" s="36"/>
      <c r="J128" s="37"/>
    </row>
    <row r="129" spans="4:10">
      <c r="D129" s="34">
        <v>45832</v>
      </c>
      <c r="E129">
        <v>6.7457880000000001</v>
      </c>
      <c r="G129" s="35">
        <v>1221.2</v>
      </c>
      <c r="H129" s="36"/>
      <c r="I129" s="36"/>
      <c r="J129" s="37"/>
    </row>
    <row r="130" spans="4:10">
      <c r="D130" s="34">
        <v>45831</v>
      </c>
      <c r="E130">
        <v>2.3124690000000001</v>
      </c>
      <c r="G130" s="35">
        <v>1214.0999999999999</v>
      </c>
      <c r="H130" s="36"/>
      <c r="I130" s="36"/>
      <c r="J130" s="37"/>
    </row>
    <row r="131" spans="4:10">
      <c r="D131" s="34">
        <v>45828</v>
      </c>
      <c r="E131">
        <v>4.6523899999999996</v>
      </c>
      <c r="G131" s="35">
        <v>1220.7</v>
      </c>
      <c r="H131" s="36"/>
      <c r="I131" s="36"/>
      <c r="J131" s="37"/>
    </row>
    <row r="132" spans="4:10">
      <c r="D132" s="34">
        <v>45827</v>
      </c>
      <c r="E132">
        <v>4.2437630000000004</v>
      </c>
      <c r="G132" s="35">
        <v>1217.5</v>
      </c>
      <c r="H132" s="36"/>
      <c r="I132" s="36"/>
      <c r="J132" s="37"/>
    </row>
    <row r="133" spans="4:10">
      <c r="D133" s="34">
        <v>45826</v>
      </c>
      <c r="E133">
        <v>3.1356619999999999</v>
      </c>
      <c r="G133" s="35">
        <v>1221</v>
      </c>
      <c r="H133" s="36"/>
      <c r="I133" s="36"/>
      <c r="J133" s="37"/>
    </row>
    <row r="134" spans="4:10">
      <c r="D134" s="34">
        <v>45825</v>
      </c>
      <c r="E134">
        <v>4.4929459999999999</v>
      </c>
      <c r="G134" s="35">
        <v>1215.0999999999999</v>
      </c>
      <c r="H134" s="36"/>
      <c r="I134" s="36"/>
      <c r="J134" s="37"/>
    </row>
    <row r="135" spans="4:10">
      <c r="D135" s="34">
        <v>45824</v>
      </c>
      <c r="E135">
        <v>5.6974239999999998</v>
      </c>
      <c r="G135" s="35">
        <v>1215.4000000000001</v>
      </c>
      <c r="H135" s="36"/>
      <c r="I135" s="36"/>
      <c r="J135" s="37"/>
    </row>
    <row r="136" spans="4:10">
      <c r="D136" s="34">
        <v>45821</v>
      </c>
      <c r="E136">
        <v>3.9068679999999998</v>
      </c>
      <c r="G136" s="35">
        <v>1205.8</v>
      </c>
      <c r="H136" s="36"/>
      <c r="I136" s="36"/>
      <c r="J136" s="37"/>
    </row>
    <row r="137" spans="4:10">
      <c r="D137" s="34">
        <v>45820</v>
      </c>
      <c r="E137">
        <v>3.4617439999999999</v>
      </c>
      <c r="G137" s="35">
        <v>1212.9000000000001</v>
      </c>
      <c r="H137" s="36"/>
      <c r="I137" s="36"/>
      <c r="J137" s="37"/>
    </row>
    <row r="138" spans="4:10">
      <c r="D138" s="34">
        <v>45819</v>
      </c>
      <c r="E138">
        <v>4.1357749999999998</v>
      </c>
      <c r="G138" s="35">
        <v>1231.4000000000001</v>
      </c>
      <c r="H138" s="36"/>
      <c r="I138" s="36"/>
      <c r="J138" s="37"/>
    </row>
    <row r="139" spans="4:10">
      <c r="D139" s="34">
        <v>45818</v>
      </c>
      <c r="E139">
        <v>7.7475579999999997</v>
      </c>
      <c r="G139" s="35">
        <v>1232.8</v>
      </c>
      <c r="H139" s="36"/>
      <c r="I139" s="36"/>
      <c r="J139" s="37"/>
    </row>
    <row r="140" spans="4:10">
      <c r="D140" s="34">
        <v>45817</v>
      </c>
      <c r="E140">
        <v>9.1381080000000008</v>
      </c>
      <c r="G140" s="35">
        <v>1219.9000000000001</v>
      </c>
      <c r="H140" s="36"/>
      <c r="I140" s="36"/>
      <c r="J140" s="37"/>
    </row>
    <row r="141" spans="4:10">
      <c r="D141" s="34">
        <v>45814</v>
      </c>
      <c r="E141">
        <v>14.715420999999999</v>
      </c>
      <c r="G141" s="35">
        <v>1194.5999999999999</v>
      </c>
      <c r="H141" s="36"/>
      <c r="I141" s="36"/>
      <c r="J141" s="37"/>
    </row>
    <row r="142" spans="4:10">
      <c r="D142" s="34">
        <v>45813</v>
      </c>
      <c r="E142">
        <v>10.4816</v>
      </c>
      <c r="G142" s="35">
        <v>1159</v>
      </c>
      <c r="H142" s="36"/>
      <c r="I142" s="36"/>
      <c r="J142" s="37"/>
    </row>
    <row r="143" spans="4:10">
      <c r="D143" s="34">
        <v>45812</v>
      </c>
      <c r="E143">
        <v>4.3063549999999999</v>
      </c>
      <c r="G143" s="35">
        <v>1171</v>
      </c>
      <c r="H143" s="36"/>
      <c r="I143" s="36"/>
      <c r="J143" s="37"/>
    </row>
    <row r="144" spans="4:10">
      <c r="D144" s="34">
        <v>45811</v>
      </c>
      <c r="E144">
        <v>8.1556650000000008</v>
      </c>
      <c r="G144" s="35">
        <v>1181.5</v>
      </c>
      <c r="H144" s="36"/>
      <c r="I144" s="36"/>
      <c r="J144" s="37"/>
    </row>
    <row r="145" spans="4:10">
      <c r="D145" s="34">
        <v>45810</v>
      </c>
      <c r="E145">
        <v>3.7618529999999999</v>
      </c>
      <c r="G145" s="35">
        <v>1194.4000000000001</v>
      </c>
      <c r="H145" s="36"/>
      <c r="I145" s="36"/>
      <c r="J145" s="37"/>
    </row>
    <row r="146" spans="4:10">
      <c r="D146" s="34">
        <v>45807</v>
      </c>
      <c r="E146">
        <v>9.998488</v>
      </c>
      <c r="G146" s="35">
        <v>1192.2</v>
      </c>
      <c r="H146" s="36"/>
      <c r="I146" s="36"/>
      <c r="J146" s="37"/>
    </row>
    <row r="147" spans="4:10">
      <c r="D147" s="34">
        <v>45806</v>
      </c>
      <c r="E147">
        <v>7.788068</v>
      </c>
      <c r="G147" s="35">
        <v>1201.7</v>
      </c>
      <c r="H147" s="36"/>
      <c r="I147" s="36"/>
      <c r="J147" s="37"/>
    </row>
    <row r="148" spans="4:10">
      <c r="D148" s="34">
        <v>45805</v>
      </c>
      <c r="E148">
        <v>3.5254210000000001</v>
      </c>
      <c r="G148" s="35">
        <v>1194.7</v>
      </c>
      <c r="H148" s="36"/>
      <c r="I148" s="36"/>
      <c r="J148" s="37"/>
    </row>
    <row r="149" spans="4:10">
      <c r="D149" s="34">
        <v>45804</v>
      </c>
      <c r="E149">
        <v>7.2491630000000002</v>
      </c>
      <c r="G149" s="35">
        <v>1195.5999999999999</v>
      </c>
      <c r="H149" s="36"/>
      <c r="I149" s="36"/>
      <c r="J149" s="37"/>
    </row>
    <row r="150" spans="4:10">
      <c r="D150" s="34">
        <v>45803</v>
      </c>
      <c r="E150">
        <v>3.607612</v>
      </c>
      <c r="G150" s="35">
        <v>1215.2</v>
      </c>
      <c r="H150" s="36"/>
      <c r="I150" s="36"/>
      <c r="J150" s="37"/>
    </row>
    <row r="151" spans="4:10">
      <c r="D151" s="34">
        <v>45800</v>
      </c>
      <c r="E151">
        <v>3.676469</v>
      </c>
      <c r="G151" s="35">
        <v>1210.0999999999999</v>
      </c>
      <c r="H151" s="36"/>
      <c r="I151" s="36"/>
      <c r="J151" s="37"/>
    </row>
    <row r="152" spans="4:10">
      <c r="D152" s="34">
        <v>45799</v>
      </c>
      <c r="E152">
        <v>4.7955829999999997</v>
      </c>
      <c r="G152" s="35">
        <v>1188.5</v>
      </c>
      <c r="H152" s="36"/>
      <c r="I152" s="36"/>
      <c r="J152" s="37"/>
    </row>
    <row r="153" spans="4:10">
      <c r="D153" s="34">
        <v>45798</v>
      </c>
      <c r="E153">
        <v>3.712472</v>
      </c>
      <c r="G153" s="35">
        <v>1197.8</v>
      </c>
      <c r="H153" s="36"/>
      <c r="I153" s="36"/>
      <c r="J153" s="37"/>
    </row>
    <row r="154" spans="4:10">
      <c r="D154" s="34">
        <v>45797</v>
      </c>
      <c r="E154">
        <v>4.7244820000000001</v>
      </c>
      <c r="G154" s="35">
        <v>1195.8</v>
      </c>
      <c r="H154" s="36"/>
      <c r="I154" s="36"/>
      <c r="J154" s="37"/>
    </row>
    <row r="155" spans="4:10">
      <c r="D155" s="34">
        <v>45796</v>
      </c>
      <c r="E155">
        <v>4.5500220000000002</v>
      </c>
      <c r="G155" s="35">
        <v>1202.8</v>
      </c>
      <c r="H155" s="36"/>
      <c r="I155" s="36"/>
      <c r="J155" s="37"/>
    </row>
    <row r="156" spans="4:10">
      <c r="D156" s="34">
        <v>45793</v>
      </c>
      <c r="E156">
        <v>4.0162690000000003</v>
      </c>
      <c r="G156" s="35">
        <v>1208.8</v>
      </c>
      <c r="H156" s="36"/>
      <c r="I156" s="36"/>
      <c r="J156" s="37"/>
    </row>
    <row r="157" spans="4:10">
      <c r="D157" s="34">
        <v>45792</v>
      </c>
      <c r="E157">
        <v>6.7057479999999998</v>
      </c>
      <c r="G157" s="35">
        <v>1209.0999999999999</v>
      </c>
      <c r="H157" s="36"/>
      <c r="I157" s="36"/>
      <c r="J157" s="37"/>
    </row>
    <row r="158" spans="4:10">
      <c r="D158" s="34">
        <v>45791</v>
      </c>
      <c r="E158">
        <v>4.0849209999999996</v>
      </c>
      <c r="G158" s="35">
        <v>1195.5</v>
      </c>
      <c r="H158" s="36"/>
      <c r="I158" s="36"/>
      <c r="J158" s="37"/>
    </row>
    <row r="159" spans="4:10">
      <c r="D159" s="34">
        <v>45790</v>
      </c>
      <c r="E159">
        <v>5.5699259999999997</v>
      </c>
      <c r="G159" s="35">
        <v>1193.5999999999999</v>
      </c>
      <c r="H159" s="36"/>
      <c r="I159" s="36"/>
      <c r="J159" s="37"/>
    </row>
    <row r="160" spans="4:10">
      <c r="D160" s="34">
        <v>45789</v>
      </c>
      <c r="E160">
        <v>7.6162080000000003</v>
      </c>
      <c r="G160" s="35">
        <v>1203</v>
      </c>
      <c r="H160" s="36"/>
      <c r="I160" s="36"/>
      <c r="J160" s="37"/>
    </row>
    <row r="161" spans="4:10">
      <c r="D161" s="34">
        <v>45786</v>
      </c>
      <c r="E161">
        <v>5.3795710000000003</v>
      </c>
      <c r="G161" s="35">
        <v>1151.0999999999999</v>
      </c>
      <c r="H161" s="36"/>
      <c r="I161" s="36"/>
      <c r="J161" s="37"/>
    </row>
    <row r="162" spans="4:10">
      <c r="D162" s="34">
        <v>45785</v>
      </c>
      <c r="E162">
        <v>9.9123470000000005</v>
      </c>
      <c r="G162" s="35">
        <v>1172.2</v>
      </c>
      <c r="H162" s="36"/>
      <c r="I162" s="36"/>
      <c r="J162" s="37"/>
    </row>
    <row r="163" spans="4:10">
      <c r="D163" s="34">
        <v>45784</v>
      </c>
      <c r="E163">
        <v>4.2638170000000004</v>
      </c>
      <c r="G163" s="35">
        <v>1161.3</v>
      </c>
      <c r="H163" s="36"/>
      <c r="I163" s="36"/>
      <c r="J163" s="37"/>
    </row>
    <row r="164" spans="4:10">
      <c r="D164" s="34">
        <v>45783</v>
      </c>
      <c r="E164">
        <v>5.3482669999999999</v>
      </c>
      <c r="G164" s="35">
        <v>1161.4000000000001</v>
      </c>
      <c r="H164" s="36"/>
      <c r="I164" s="36"/>
      <c r="J164" s="37"/>
    </row>
    <row r="165" spans="4:10">
      <c r="D165" s="34">
        <v>45782</v>
      </c>
      <c r="E165">
        <v>7.2360559999999996</v>
      </c>
      <c r="G165" s="35">
        <v>1173.2</v>
      </c>
      <c r="H165" s="36"/>
      <c r="I165" s="36"/>
      <c r="J165" s="37"/>
    </row>
    <row r="166" spans="4:10">
      <c r="D166" s="34">
        <v>45779</v>
      </c>
      <c r="E166">
        <v>6.5676779999999999</v>
      </c>
      <c r="G166" s="35">
        <v>1182.2</v>
      </c>
      <c r="H166" s="36"/>
      <c r="I166" s="36"/>
      <c r="J166" s="37"/>
    </row>
    <row r="167" spans="4:10">
      <c r="D167" s="34">
        <v>45777</v>
      </c>
      <c r="E167">
        <v>6.2882569999999998</v>
      </c>
      <c r="G167" s="35">
        <v>1185</v>
      </c>
      <c r="H167" s="36"/>
      <c r="I167" s="36"/>
      <c r="J167" s="37"/>
    </row>
    <row r="168" spans="4:10">
      <c r="D168" s="34">
        <v>45776</v>
      </c>
      <c r="E168">
        <v>6.0745199999999997</v>
      </c>
      <c r="G168" s="35">
        <v>1187.3</v>
      </c>
      <c r="H168" s="36"/>
      <c r="I168" s="36"/>
      <c r="J168" s="37"/>
    </row>
    <row r="169" spans="4:10">
      <c r="D169" s="34">
        <v>45775</v>
      </c>
      <c r="E169">
        <v>5.5235019999999997</v>
      </c>
      <c r="G169" s="35">
        <v>1192.8</v>
      </c>
      <c r="H169" s="36"/>
      <c r="I169" s="36"/>
      <c r="J169" s="37"/>
    </row>
    <row r="170" spans="4:10">
      <c r="D170" s="34">
        <v>45772</v>
      </c>
      <c r="E170">
        <v>17.243807</v>
      </c>
      <c r="G170" s="35">
        <v>1166.3</v>
      </c>
      <c r="H170" s="36"/>
      <c r="I170" s="36"/>
      <c r="J170" s="37"/>
    </row>
    <row r="171" spans="4:10">
      <c r="D171" s="34">
        <v>45771</v>
      </c>
      <c r="E171">
        <v>9.0781369999999999</v>
      </c>
      <c r="G171" s="35">
        <v>1207.0999999999999</v>
      </c>
      <c r="H171" s="36"/>
      <c r="I171" s="36"/>
      <c r="J171" s="37"/>
    </row>
    <row r="172" spans="4:10">
      <c r="D172" s="34">
        <v>45770</v>
      </c>
      <c r="E172">
        <v>9.4339110000000002</v>
      </c>
      <c r="G172" s="35">
        <v>1206.9000000000001</v>
      </c>
      <c r="H172" s="36"/>
      <c r="I172" s="36"/>
      <c r="J172" s="37"/>
    </row>
    <row r="173" spans="4:10">
      <c r="D173" s="34">
        <v>45769</v>
      </c>
      <c r="E173">
        <v>8.4617100000000001</v>
      </c>
      <c r="G173" s="35">
        <v>1216.8</v>
      </c>
      <c r="H173" s="36"/>
      <c r="I173" s="36"/>
      <c r="J173" s="37"/>
    </row>
    <row r="174" spans="4:10">
      <c r="D174" s="34">
        <v>45768</v>
      </c>
      <c r="E174">
        <v>15.16658</v>
      </c>
      <c r="G174" s="35">
        <v>1223</v>
      </c>
      <c r="H174" s="36"/>
      <c r="I174" s="36"/>
      <c r="J174" s="37"/>
    </row>
    <row r="175" spans="4:10">
      <c r="D175" s="34">
        <v>45764</v>
      </c>
      <c r="E175">
        <v>13.446336000000001</v>
      </c>
      <c r="G175" s="35">
        <v>1190.8</v>
      </c>
      <c r="H175" s="36"/>
      <c r="I175" s="36"/>
      <c r="J175" s="37"/>
    </row>
    <row r="176" spans="4:10">
      <c r="D176" s="34">
        <v>45763</v>
      </c>
      <c r="E176">
        <v>12.836428</v>
      </c>
      <c r="G176" s="35">
        <v>1161.3</v>
      </c>
      <c r="H176" s="36"/>
      <c r="I176" s="36"/>
      <c r="J176" s="37"/>
    </row>
    <row r="177" spans="4:10">
      <c r="D177" s="34">
        <v>45762</v>
      </c>
      <c r="E177">
        <v>9.3202990000000003</v>
      </c>
      <c r="G177" s="35">
        <v>1112.8</v>
      </c>
      <c r="H177" s="36"/>
      <c r="I177" s="36"/>
      <c r="J177" s="37"/>
    </row>
    <row r="178" spans="4:10">
      <c r="D178" s="34">
        <v>45758</v>
      </c>
      <c r="E178">
        <v>8.1440719999999995</v>
      </c>
      <c r="G178" s="35">
        <v>1068.95</v>
      </c>
      <c r="H178" s="36"/>
      <c r="I178" s="36"/>
      <c r="J178" s="37"/>
    </row>
    <row r="179" spans="4:10">
      <c r="D179" s="34">
        <v>45756</v>
      </c>
      <c r="E179">
        <v>6.6902010000000001</v>
      </c>
      <c r="G179" s="35">
        <v>1061.6500000000001</v>
      </c>
      <c r="H179" s="36"/>
      <c r="I179" s="36"/>
      <c r="J179" s="37"/>
    </row>
    <row r="180" spans="4:10">
      <c r="D180" s="34">
        <v>45755</v>
      </c>
      <c r="E180">
        <v>8.723357</v>
      </c>
      <c r="G180" s="35">
        <v>1077.8499999999999</v>
      </c>
      <c r="H180" s="36"/>
      <c r="I180" s="36"/>
      <c r="J180" s="37"/>
    </row>
    <row r="181" spans="4:10">
      <c r="D181" s="34">
        <v>45754</v>
      </c>
      <c r="E181">
        <v>9.7204569999999997</v>
      </c>
      <c r="G181" s="35">
        <v>1047.95</v>
      </c>
      <c r="H181" s="36"/>
      <c r="I181" s="36"/>
      <c r="J181" s="37"/>
    </row>
    <row r="182" spans="4:10">
      <c r="D182" s="34">
        <v>45751</v>
      </c>
      <c r="E182">
        <v>6.0599910000000001</v>
      </c>
      <c r="G182" s="35">
        <v>1091.3</v>
      </c>
      <c r="H182" s="36"/>
      <c r="I182" s="36"/>
      <c r="J182" s="37"/>
    </row>
    <row r="183" spans="4:10">
      <c r="D183" s="34">
        <v>45750</v>
      </c>
      <c r="E183">
        <v>5.3456599999999996</v>
      </c>
      <c r="G183" s="35">
        <v>1089.8499999999999</v>
      </c>
      <c r="H183" s="36"/>
      <c r="I183" s="36"/>
      <c r="J183" s="37"/>
    </row>
    <row r="184" spans="4:10">
      <c r="D184" s="34">
        <v>45749</v>
      </c>
      <c r="E184">
        <v>4.0653439999999996</v>
      </c>
      <c r="G184" s="35">
        <v>1084.45</v>
      </c>
      <c r="H184" s="36"/>
      <c r="I184" s="36"/>
      <c r="J184" s="37"/>
    </row>
    <row r="185" spans="4:10">
      <c r="D185" s="34">
        <v>45748</v>
      </c>
      <c r="E185">
        <v>6.6381399999999999</v>
      </c>
      <c r="G185" s="35">
        <v>1085.5999999999999</v>
      </c>
      <c r="H185" s="36"/>
      <c r="I185" s="36"/>
      <c r="J185" s="37"/>
    </row>
    <row r="186" spans="4:10">
      <c r="D186" s="34">
        <v>45744</v>
      </c>
      <c r="E186">
        <v>4.9211900000000002</v>
      </c>
      <c r="G186" s="35">
        <v>1102</v>
      </c>
      <c r="H186" s="36"/>
      <c r="I186" s="36"/>
      <c r="J186" s="37"/>
    </row>
    <row r="187" spans="4:10">
      <c r="D187" s="34">
        <v>45743</v>
      </c>
      <c r="E187">
        <v>8.5089170000000003</v>
      </c>
      <c r="G187" s="35">
        <v>1098.3499999999999</v>
      </c>
      <c r="H187" s="36"/>
      <c r="I187" s="36"/>
      <c r="J187" s="37"/>
    </row>
    <row r="188" spans="4:10">
      <c r="D188" s="34">
        <v>45742</v>
      </c>
      <c r="E188">
        <v>7.1270600000000002</v>
      </c>
      <c r="G188" s="35">
        <v>1096.25</v>
      </c>
      <c r="H188" s="36"/>
      <c r="I188" s="36"/>
      <c r="J188" s="37"/>
    </row>
    <row r="189" spans="4:10">
      <c r="D189" s="34">
        <v>45741</v>
      </c>
      <c r="E189">
        <v>11.720528</v>
      </c>
      <c r="G189" s="35">
        <v>1118.55</v>
      </c>
      <c r="H189" s="36"/>
      <c r="I189" s="36"/>
      <c r="J189" s="37"/>
    </row>
    <row r="190" spans="4:10">
      <c r="D190" s="34">
        <v>45740</v>
      </c>
      <c r="E190">
        <v>8.2848629999999996</v>
      </c>
      <c r="G190" s="35">
        <v>1097.8499999999999</v>
      </c>
      <c r="H190" s="36"/>
      <c r="I190" s="36"/>
      <c r="J190" s="37"/>
    </row>
    <row r="191" spans="4:10">
      <c r="D191" s="34">
        <v>45737</v>
      </c>
      <c r="E191">
        <v>6.8485649999999998</v>
      </c>
      <c r="G191" s="35">
        <v>1070.1500000000001</v>
      </c>
      <c r="H191" s="36"/>
      <c r="I191" s="36"/>
      <c r="J191" s="37"/>
    </row>
    <row r="192" spans="4:10">
      <c r="D192" s="34">
        <v>45736</v>
      </c>
      <c r="E192">
        <v>3.7426439999999999</v>
      </c>
      <c r="G192" s="35">
        <v>1054.3499999999999</v>
      </c>
      <c r="H192" s="36"/>
      <c r="I192" s="36"/>
      <c r="J192" s="37"/>
    </row>
    <row r="193" spans="4:10">
      <c r="D193" s="34">
        <v>45735</v>
      </c>
      <c r="E193">
        <v>4.8223649999999996</v>
      </c>
      <c r="G193" s="35">
        <v>1052.05</v>
      </c>
      <c r="H193" s="36"/>
      <c r="I193" s="36"/>
      <c r="J193" s="37"/>
    </row>
    <row r="194" spans="4:10">
      <c r="D194" s="34">
        <v>45734</v>
      </c>
      <c r="E194">
        <v>7.3659400000000002</v>
      </c>
      <c r="G194" s="35">
        <v>1045.25</v>
      </c>
      <c r="H194" s="36"/>
      <c r="I194" s="36"/>
      <c r="J194" s="37"/>
    </row>
    <row r="195" spans="4:10">
      <c r="D195" s="34">
        <v>45733</v>
      </c>
      <c r="E195">
        <v>5.9386679999999998</v>
      </c>
      <c r="G195" s="35">
        <v>1034.1500000000001</v>
      </c>
      <c r="H195" s="36"/>
      <c r="I195" s="36"/>
      <c r="J195" s="37"/>
    </row>
    <row r="196" spans="4:10">
      <c r="D196" s="34">
        <v>45729</v>
      </c>
      <c r="E196">
        <v>4.0041399999999996</v>
      </c>
      <c r="G196" s="35">
        <v>1010.2</v>
      </c>
      <c r="H196" s="36"/>
      <c r="I196" s="36"/>
      <c r="J196" s="37"/>
    </row>
    <row r="197" spans="4:10">
      <c r="D197" s="34">
        <v>45728</v>
      </c>
      <c r="E197">
        <v>7.504702</v>
      </c>
      <c r="G197" s="35">
        <v>1011.2</v>
      </c>
      <c r="H197" s="36"/>
      <c r="I197" s="36"/>
      <c r="J197" s="37"/>
    </row>
    <row r="198" spans="4:10">
      <c r="D198" s="34">
        <v>45727</v>
      </c>
      <c r="E198">
        <v>4.7710850000000002</v>
      </c>
      <c r="G198" s="35">
        <v>1025.6500000000001</v>
      </c>
      <c r="H198" s="36"/>
      <c r="I198" s="36"/>
      <c r="J198" s="37"/>
    </row>
    <row r="199" spans="4:10">
      <c r="D199" s="34">
        <v>45726</v>
      </c>
      <c r="E199">
        <v>5.9956550000000002</v>
      </c>
      <c r="G199" s="35">
        <v>1035.8499999999999</v>
      </c>
      <c r="H199" s="36"/>
      <c r="I199" s="36"/>
      <c r="J199" s="37"/>
    </row>
    <row r="200" spans="4:10">
      <c r="D200" s="34">
        <v>45723</v>
      </c>
      <c r="E200">
        <v>7.597321</v>
      </c>
      <c r="G200" s="35">
        <v>1037.6500000000001</v>
      </c>
      <c r="H200" s="36"/>
      <c r="I200" s="36"/>
      <c r="J200" s="37"/>
    </row>
    <row r="201" spans="4:10">
      <c r="D201" s="34">
        <v>45722</v>
      </c>
      <c r="E201">
        <v>7.8611199999999997</v>
      </c>
      <c r="G201" s="35">
        <v>1034.0999999999999</v>
      </c>
      <c r="H201" s="36"/>
      <c r="I201" s="36"/>
      <c r="J201" s="37"/>
    </row>
    <row r="202" spans="4:10">
      <c r="D202" s="34">
        <v>45721</v>
      </c>
      <c r="E202">
        <v>5.1338730000000004</v>
      </c>
      <c r="G202" s="35">
        <v>1014.45</v>
      </c>
      <c r="H202" s="36"/>
      <c r="I202" s="36"/>
      <c r="J202" s="37"/>
    </row>
    <row r="203" spans="4:10">
      <c r="D203" s="34">
        <v>45720</v>
      </c>
      <c r="E203">
        <v>5.7864199999999997</v>
      </c>
      <c r="G203" s="35">
        <v>1001.8</v>
      </c>
      <c r="H203" s="36"/>
      <c r="I203" s="36"/>
      <c r="J203" s="37"/>
    </row>
    <row r="204" spans="4:10">
      <c r="D204" s="34">
        <v>45719</v>
      </c>
      <c r="E204">
        <v>6.7631839999999999</v>
      </c>
      <c r="G204" s="35">
        <v>1007.25</v>
      </c>
      <c r="H204" s="36"/>
      <c r="I204" s="36"/>
      <c r="J204" s="37"/>
    </row>
    <row r="205" spans="4:10">
      <c r="D205" s="34">
        <v>45716</v>
      </c>
      <c r="E205">
        <v>15.026849</v>
      </c>
      <c r="G205" s="35">
        <v>1015.55</v>
      </c>
      <c r="H205" s="36"/>
      <c r="I205" s="36"/>
      <c r="J205" s="37"/>
    </row>
    <row r="206" spans="4:10">
      <c r="D206" s="34">
        <v>45715</v>
      </c>
      <c r="E206">
        <v>9.7776899999999998</v>
      </c>
      <c r="G206" s="35">
        <v>1016.7</v>
      </c>
      <c r="H206" s="36"/>
      <c r="I206" s="36"/>
      <c r="J206" s="37"/>
    </row>
    <row r="207" spans="4:10">
      <c r="D207" s="34">
        <v>45713</v>
      </c>
      <c r="E207">
        <v>5.7089749999999997</v>
      </c>
      <c r="G207" s="35">
        <v>1009.1</v>
      </c>
      <c r="H207" s="36"/>
      <c r="I207" s="36"/>
      <c r="J207" s="37"/>
    </row>
    <row r="208" spans="4:10">
      <c r="D208" s="34">
        <v>45712</v>
      </c>
      <c r="E208">
        <v>4.2654540000000001</v>
      </c>
      <c r="G208" s="35">
        <v>1010.05</v>
      </c>
      <c r="H208" s="36"/>
      <c r="I208" s="36"/>
      <c r="J208" s="37"/>
    </row>
    <row r="209" spans="4:10">
      <c r="D209" s="34">
        <v>45709</v>
      </c>
      <c r="E209">
        <v>5.0199369999999996</v>
      </c>
      <c r="G209" s="35">
        <v>1008.95</v>
      </c>
      <c r="H209" s="36"/>
      <c r="I209" s="36"/>
      <c r="J209" s="37"/>
    </row>
    <row r="210" spans="4:10">
      <c r="D210" s="34">
        <v>45708</v>
      </c>
      <c r="E210">
        <v>5.0112120000000004</v>
      </c>
      <c r="G210" s="35">
        <v>1017.2</v>
      </c>
      <c r="H210" s="36"/>
      <c r="I210" s="36"/>
      <c r="J210" s="37"/>
    </row>
    <row r="211" spans="4:10">
      <c r="D211" s="34">
        <v>45707</v>
      </c>
      <c r="E211">
        <v>6.4013809999999998</v>
      </c>
      <c r="G211" s="35">
        <v>1011.35</v>
      </c>
      <c r="H211" s="36"/>
      <c r="I211" s="36"/>
      <c r="J211" s="37"/>
    </row>
    <row r="212" spans="4:10">
      <c r="D212" s="34">
        <v>45706</v>
      </c>
      <c r="E212">
        <v>3.090004</v>
      </c>
      <c r="G212" s="35">
        <v>994.15</v>
      </c>
      <c r="H212" s="36"/>
      <c r="I212" s="36"/>
      <c r="J212" s="37"/>
    </row>
    <row r="213" spans="4:10">
      <c r="D213" s="34">
        <v>45705</v>
      </c>
      <c r="E213">
        <v>7.1668029999999998</v>
      </c>
      <c r="G213" s="35">
        <v>992.95</v>
      </c>
      <c r="H213" s="36"/>
      <c r="I213" s="36"/>
      <c r="J213" s="37"/>
    </row>
    <row r="214" spans="4:10">
      <c r="D214" s="34">
        <v>45702</v>
      </c>
      <c r="E214">
        <v>5.3757549999999998</v>
      </c>
      <c r="G214" s="35">
        <v>997.5</v>
      </c>
      <c r="H214" s="36"/>
      <c r="I214" s="36"/>
      <c r="J214" s="37"/>
    </row>
    <row r="215" spans="4:10">
      <c r="D215" s="34">
        <v>45701</v>
      </c>
      <c r="E215">
        <v>6.3482459999999996</v>
      </c>
      <c r="G215" s="35">
        <v>1008.2</v>
      </c>
      <c r="H215" s="36"/>
      <c r="I215" s="36"/>
      <c r="J215" s="37"/>
    </row>
    <row r="216" spans="4:10">
      <c r="D216" s="34">
        <v>45700</v>
      </c>
      <c r="E216">
        <v>7.6692830000000001</v>
      </c>
      <c r="G216" s="35">
        <v>1006.9</v>
      </c>
      <c r="H216" s="36"/>
      <c r="I216" s="36"/>
      <c r="J216" s="37"/>
    </row>
    <row r="217" spans="4:10">
      <c r="D217" s="34">
        <v>45699</v>
      </c>
      <c r="E217">
        <v>4.8082149999999997</v>
      </c>
      <c r="G217" s="35">
        <v>1007.4</v>
      </c>
      <c r="H217" s="36"/>
      <c r="I217" s="36"/>
      <c r="J217" s="37"/>
    </row>
    <row r="218" spans="4:10">
      <c r="D218" s="34">
        <v>45698</v>
      </c>
      <c r="E218">
        <v>3.9605649999999999</v>
      </c>
      <c r="G218" s="35">
        <v>1011.75</v>
      </c>
      <c r="H218" s="36"/>
      <c r="I218" s="36"/>
      <c r="J218" s="37"/>
    </row>
    <row r="219" spans="4:10">
      <c r="D219" s="34">
        <v>45695</v>
      </c>
      <c r="E219">
        <v>8.6386509999999994</v>
      </c>
      <c r="G219" s="35">
        <v>1024.0999999999999</v>
      </c>
      <c r="H219" s="36"/>
      <c r="I219" s="36"/>
      <c r="J219" s="37"/>
    </row>
    <row r="220" spans="4:10">
      <c r="D220" s="34">
        <v>45694</v>
      </c>
      <c r="E220">
        <v>5.815563</v>
      </c>
      <c r="G220" s="35">
        <v>1020.7</v>
      </c>
      <c r="H220" s="36"/>
      <c r="I220" s="36"/>
      <c r="J220" s="37"/>
    </row>
    <row r="221" spans="4:10">
      <c r="D221" s="34">
        <v>45693</v>
      </c>
      <c r="E221">
        <v>7.8583730000000003</v>
      </c>
      <c r="G221" s="35">
        <v>1013.3</v>
      </c>
      <c r="H221" s="36"/>
      <c r="I221" s="36"/>
      <c r="J221" s="37"/>
    </row>
    <row r="222" spans="4:10">
      <c r="D222" s="34">
        <v>45692</v>
      </c>
      <c r="E222">
        <v>16.058171000000002</v>
      </c>
      <c r="G222" s="35">
        <v>1015.3</v>
      </c>
      <c r="H222" s="36"/>
      <c r="I222" s="36"/>
      <c r="J222" s="37"/>
    </row>
    <row r="223" spans="4:10">
      <c r="D223" s="34">
        <v>45691</v>
      </c>
      <c r="E223">
        <v>7.1246049999999999</v>
      </c>
      <c r="G223" s="35">
        <v>989.4</v>
      </c>
      <c r="H223" s="36"/>
      <c r="I223" s="36"/>
      <c r="J223" s="37"/>
    </row>
    <row r="224" spans="4:10">
      <c r="D224" s="34">
        <v>45689</v>
      </c>
      <c r="E224">
        <v>4.8303909999999997</v>
      </c>
      <c r="G224" s="35">
        <v>998.15</v>
      </c>
      <c r="H224" s="36"/>
      <c r="I224" s="36"/>
      <c r="J224" s="37"/>
    </row>
    <row r="225" spans="4:10">
      <c r="D225" s="34">
        <v>45688</v>
      </c>
      <c r="E225">
        <v>9.0363120000000006</v>
      </c>
      <c r="G225" s="35">
        <v>986.1</v>
      </c>
      <c r="H225" s="36"/>
      <c r="I225" s="36"/>
      <c r="J225" s="37"/>
    </row>
    <row r="226" spans="4:10">
      <c r="D226" s="34">
        <v>45687</v>
      </c>
      <c r="E226">
        <v>10.473117999999999</v>
      </c>
      <c r="G226" s="35">
        <v>984.7</v>
      </c>
      <c r="H226" s="36"/>
      <c r="I226" s="36"/>
      <c r="J226" s="37"/>
    </row>
    <row r="227" spans="4:10">
      <c r="D227" s="34">
        <v>45686</v>
      </c>
      <c r="E227">
        <v>11.175205999999999</v>
      </c>
      <c r="G227" s="35">
        <v>983.4</v>
      </c>
      <c r="H227" s="36"/>
      <c r="I227" s="36"/>
      <c r="J227" s="37"/>
    </row>
    <row r="228" spans="4:10">
      <c r="D228" s="34">
        <v>45685</v>
      </c>
      <c r="E228">
        <v>21.781371</v>
      </c>
      <c r="G228" s="35">
        <v>983.8</v>
      </c>
      <c r="H228" s="36"/>
      <c r="I228" s="36"/>
      <c r="J228" s="37"/>
    </row>
    <row r="229" spans="4:10">
      <c r="D229" s="34">
        <v>45684</v>
      </c>
      <c r="E229">
        <v>12.713296</v>
      </c>
      <c r="G229" s="35">
        <v>948.1</v>
      </c>
      <c r="H229" s="36"/>
      <c r="I229" s="36"/>
      <c r="J229" s="37"/>
    </row>
    <row r="230" spans="4:10">
      <c r="D230" s="34">
        <v>45681</v>
      </c>
      <c r="E230">
        <v>14.421920999999999</v>
      </c>
      <c r="G230" s="35">
        <v>948.5</v>
      </c>
      <c r="H230" s="36"/>
      <c r="I230" s="36"/>
      <c r="J230" s="37"/>
    </row>
    <row r="231" spans="4:10">
      <c r="D231" s="34">
        <v>45680</v>
      </c>
      <c r="E231">
        <v>24.649522000000001</v>
      </c>
      <c r="G231" s="35">
        <v>951.05</v>
      </c>
      <c r="H231" s="36"/>
      <c r="I231" s="36"/>
      <c r="J231" s="37"/>
    </row>
    <row r="232" spans="4:10">
      <c r="D232" s="34">
        <v>45679</v>
      </c>
      <c r="E232">
        <v>17.303146000000002</v>
      </c>
      <c r="G232" s="35">
        <v>959.3</v>
      </c>
      <c r="H232" s="36"/>
      <c r="I232" s="36"/>
      <c r="J232" s="37"/>
    </row>
    <row r="233" spans="4:10">
      <c r="D233" s="34">
        <v>45678</v>
      </c>
      <c r="E233">
        <v>11.894500000000001</v>
      </c>
      <c r="G233" s="35">
        <v>970.2</v>
      </c>
      <c r="H233" s="36"/>
      <c r="I233" s="36"/>
      <c r="J233" s="37"/>
    </row>
    <row r="234" spans="4:10">
      <c r="D234" s="34">
        <v>45677</v>
      </c>
      <c r="E234">
        <v>33.440506999999997</v>
      </c>
      <c r="G234" s="35">
        <v>988.05</v>
      </c>
      <c r="H234" s="36"/>
      <c r="I234" s="36"/>
      <c r="J234" s="37"/>
    </row>
    <row r="235" spans="4:10">
      <c r="D235" s="34">
        <v>45674</v>
      </c>
      <c r="E235">
        <v>33.831617000000001</v>
      </c>
      <c r="G235" s="35">
        <v>991.05</v>
      </c>
      <c r="H235" s="36"/>
      <c r="I235" s="36"/>
      <c r="J235" s="37"/>
    </row>
    <row r="236" spans="4:10">
      <c r="D236" s="34">
        <v>45673</v>
      </c>
      <c r="E236">
        <v>10.261727</v>
      </c>
      <c r="G236" s="35">
        <v>1038</v>
      </c>
      <c r="H236" s="36"/>
      <c r="I236" s="36"/>
      <c r="J236" s="37"/>
    </row>
    <row r="237" spans="4:10">
      <c r="D237" s="34">
        <v>45672</v>
      </c>
      <c r="E237">
        <v>11.418721</v>
      </c>
      <c r="G237" s="35">
        <v>1026.8</v>
      </c>
      <c r="H237" s="36"/>
      <c r="I237" s="36"/>
      <c r="J237" s="37"/>
    </row>
    <row r="238" spans="4:10">
      <c r="D238" s="34">
        <v>45671</v>
      </c>
      <c r="E238">
        <v>6.8928969999999996</v>
      </c>
      <c r="G238" s="35">
        <v>1051.6500000000001</v>
      </c>
      <c r="H238" s="36"/>
      <c r="I238" s="36"/>
      <c r="J238" s="37"/>
    </row>
    <row r="239" spans="4:10">
      <c r="D239" s="34">
        <v>45670</v>
      </c>
      <c r="E239">
        <v>7.18093</v>
      </c>
      <c r="G239" s="35">
        <v>1049.3</v>
      </c>
      <c r="H239" s="36"/>
      <c r="I239" s="36"/>
      <c r="J239" s="37"/>
    </row>
    <row r="240" spans="4:10">
      <c r="D240" s="34">
        <v>45667</v>
      </c>
      <c r="E240">
        <v>5.6128859999999996</v>
      </c>
      <c r="G240" s="35">
        <v>1040.7</v>
      </c>
      <c r="H240" s="36"/>
      <c r="I240" s="36"/>
      <c r="J240" s="37"/>
    </row>
    <row r="241" spans="4:10">
      <c r="D241" s="34">
        <v>45666</v>
      </c>
      <c r="E241">
        <v>9.0541900000000002</v>
      </c>
      <c r="G241" s="35">
        <v>1061.75</v>
      </c>
      <c r="H241" s="36"/>
      <c r="I241" s="36"/>
      <c r="J241" s="37"/>
    </row>
    <row r="242" spans="4:10">
      <c r="D242" s="34">
        <v>45665</v>
      </c>
      <c r="E242">
        <v>8.7800980000000006</v>
      </c>
      <c r="G242" s="35">
        <v>1074.95</v>
      </c>
      <c r="H242" s="36"/>
      <c r="I242" s="36"/>
      <c r="J242" s="37"/>
    </row>
    <row r="243" spans="4:10">
      <c r="D243" s="34">
        <v>45664</v>
      </c>
      <c r="E243">
        <v>4.6194620000000004</v>
      </c>
      <c r="G243" s="35">
        <v>1067.5</v>
      </c>
      <c r="H243" s="36"/>
      <c r="I243" s="36"/>
      <c r="J243" s="37"/>
    </row>
    <row r="244" spans="4:10">
      <c r="D244" s="34">
        <v>45663</v>
      </c>
      <c r="E244">
        <v>5.2834130000000004</v>
      </c>
      <c r="G244" s="35">
        <v>1063.4000000000001</v>
      </c>
      <c r="H244" s="36"/>
      <c r="I244" s="36"/>
      <c r="J244" s="37"/>
    </row>
    <row r="245" spans="4:10">
      <c r="D245" s="34">
        <v>45660</v>
      </c>
      <c r="E245">
        <v>7.3572199999999999</v>
      </c>
      <c r="G245" s="35">
        <v>1084.9000000000001</v>
      </c>
      <c r="H245" s="36"/>
      <c r="I245" s="36"/>
      <c r="J245" s="37"/>
    </row>
    <row r="246" spans="4:10">
      <c r="D246" s="34">
        <v>45659</v>
      </c>
      <c r="E246">
        <v>6.5570760000000003</v>
      </c>
      <c r="G246" s="35">
        <v>1086.5999999999999</v>
      </c>
      <c r="H246" s="36"/>
      <c r="I246" s="36"/>
      <c r="J246" s="37"/>
    </row>
    <row r="247" spans="4:10">
      <c r="D247" s="34">
        <v>45658</v>
      </c>
      <c r="E247">
        <v>2.9853550000000002</v>
      </c>
      <c r="G247" s="35">
        <v>1071.8</v>
      </c>
      <c r="H247" s="36"/>
      <c r="I247" s="36"/>
      <c r="J247" s="37"/>
    </row>
    <row r="248" spans="4:10">
      <c r="D248" s="34">
        <v>45657</v>
      </c>
      <c r="E248">
        <v>5.2921360000000002</v>
      </c>
      <c r="G248" s="35">
        <v>1064.7</v>
      </c>
      <c r="H248" s="36"/>
      <c r="I248" s="36"/>
      <c r="J248" s="37"/>
    </row>
    <row r="249" spans="4:10">
      <c r="D249" s="34">
        <v>45656</v>
      </c>
      <c r="E249">
        <v>9.4521549999999994</v>
      </c>
      <c r="G249" s="35">
        <v>1069.95</v>
      </c>
      <c r="H249" s="36"/>
      <c r="I249" s="36"/>
      <c r="J249" s="37"/>
    </row>
    <row r="250" spans="4:10">
      <c r="D250" s="34">
        <v>45653</v>
      </c>
      <c r="E250">
        <v>3.8016670000000001</v>
      </c>
      <c r="G250" s="35">
        <v>1077.45</v>
      </c>
      <c r="H250" s="36"/>
      <c r="I250" s="36"/>
      <c r="J250" s="37"/>
    </row>
    <row r="251" spans="4:10">
      <c r="D251" s="34">
        <v>45652</v>
      </c>
      <c r="E251">
        <v>4.7754599999999998</v>
      </c>
      <c r="G251" s="35">
        <v>1076.7</v>
      </c>
      <c r="H251" s="36"/>
      <c r="I251" s="36"/>
      <c r="J251" s="37"/>
    </row>
    <row r="252" spans="4:10">
      <c r="D252" s="34">
        <v>45650</v>
      </c>
      <c r="E252">
        <v>4.3436940000000002</v>
      </c>
      <c r="G252" s="35">
        <v>1078.9000000000001</v>
      </c>
      <c r="H252" s="36"/>
      <c r="I252" s="36"/>
      <c r="J252" s="37"/>
    </row>
    <row r="253" spans="4:10">
      <c r="D253" s="34">
        <v>45649</v>
      </c>
      <c r="E253">
        <v>3.8869210000000001</v>
      </c>
      <c r="G253" s="35">
        <v>1079.1500000000001</v>
      </c>
      <c r="H253" s="36"/>
      <c r="I253" s="36"/>
      <c r="J253" s="37"/>
    </row>
    <row r="254" spans="4:10">
      <c r="D254" s="34">
        <v>45646</v>
      </c>
      <c r="E254">
        <v>12.623056</v>
      </c>
      <c r="G254" s="35">
        <v>1071.8499999999999</v>
      </c>
      <c r="H254" s="36"/>
      <c r="I254" s="36"/>
      <c r="J254" s="37"/>
    </row>
    <row r="255" spans="4:10">
      <c r="D255" s="34">
        <v>45645</v>
      </c>
      <c r="E255">
        <v>11.67761</v>
      </c>
      <c r="G255" s="35">
        <v>1108.9000000000001</v>
      </c>
      <c r="H255" s="36"/>
      <c r="I255" s="36"/>
      <c r="J255" s="37"/>
    </row>
    <row r="256" spans="4:10">
      <c r="D256" s="34">
        <v>45644</v>
      </c>
      <c r="E256">
        <v>7.2221270000000004</v>
      </c>
      <c r="G256" s="35">
        <v>1122.25</v>
      </c>
      <c r="H256" s="36"/>
      <c r="I256" s="36"/>
      <c r="J256" s="37"/>
    </row>
    <row r="257" spans="4:10">
      <c r="D257" s="34">
        <v>45643</v>
      </c>
      <c r="E257">
        <v>7.2928170000000003</v>
      </c>
      <c r="G257" s="35">
        <v>1136.25</v>
      </c>
      <c r="H257" s="36"/>
      <c r="I257" s="36"/>
      <c r="J257" s="37"/>
    </row>
    <row r="258" spans="4:10">
      <c r="D258" s="34">
        <v>45642</v>
      </c>
      <c r="E258">
        <v>3.9752019999999999</v>
      </c>
      <c r="G258" s="35">
        <v>1150.9000000000001</v>
      </c>
      <c r="H258" s="36"/>
      <c r="I258" s="36"/>
      <c r="J258" s="37"/>
    </row>
    <row r="259" spans="4:10">
      <c r="D259" s="34">
        <v>45639</v>
      </c>
      <c r="E259">
        <v>8.7316179999999992</v>
      </c>
      <c r="G259" s="35">
        <v>1148.1500000000001</v>
      </c>
      <c r="H259" s="36"/>
      <c r="I259" s="36"/>
      <c r="J259" s="37"/>
    </row>
    <row r="260" spans="4:10">
      <c r="D260" s="34">
        <v>45638</v>
      </c>
      <c r="E260">
        <v>4.8252829999999998</v>
      </c>
      <c r="G260" s="35">
        <v>1145.6500000000001</v>
      </c>
      <c r="H260" s="36"/>
      <c r="I260" s="36"/>
      <c r="J260" s="37"/>
    </row>
    <row r="261" spans="4:10">
      <c r="D261" s="34">
        <v>45637</v>
      </c>
      <c r="E261">
        <v>7.7882420000000003</v>
      </c>
      <c r="G261" s="35">
        <v>1147.25</v>
      </c>
      <c r="H261" s="36"/>
      <c r="I261" s="36"/>
      <c r="J261" s="37"/>
    </row>
    <row r="262" spans="4:10">
      <c r="D262" s="34">
        <v>45636</v>
      </c>
      <c r="E262">
        <v>4.7143889999999997</v>
      </c>
      <c r="G262" s="35">
        <v>1153.6500000000001</v>
      </c>
      <c r="H262" s="36"/>
      <c r="I262" s="36"/>
      <c r="J262" s="37"/>
    </row>
    <row r="263" spans="4:10">
      <c r="D263" s="34">
        <v>45635</v>
      </c>
      <c r="E263">
        <v>6.3081120000000004</v>
      </c>
      <c r="G263" s="35">
        <v>1163.25</v>
      </c>
      <c r="H263" s="36"/>
      <c r="I263" s="36"/>
      <c r="J263" s="37"/>
    </row>
    <row r="264" spans="4:10">
      <c r="D264" s="34">
        <v>45632</v>
      </c>
      <c r="E264">
        <v>7.5422099999999999</v>
      </c>
      <c r="G264" s="35">
        <v>1184.55</v>
      </c>
      <c r="H264" s="36"/>
      <c r="I264" s="36"/>
      <c r="J264" s="37"/>
    </row>
    <row r="265" spans="4:10">
      <c r="D265" s="34">
        <v>45631</v>
      </c>
      <c r="E265">
        <v>10.640451000000001</v>
      </c>
      <c r="G265" s="35">
        <v>1166.4000000000001</v>
      </c>
      <c r="H265" s="36"/>
      <c r="I265" s="36"/>
      <c r="J265" s="37"/>
    </row>
    <row r="266" spans="4:10">
      <c r="D266" s="34">
        <v>45630</v>
      </c>
      <c r="E266">
        <v>18.379798000000001</v>
      </c>
      <c r="G266" s="35">
        <v>1159.45</v>
      </c>
      <c r="H266" s="36"/>
      <c r="I266" s="36"/>
      <c r="J266" s="37"/>
    </row>
    <row r="267" spans="4:10">
      <c r="D267" s="34">
        <v>45629</v>
      </c>
      <c r="E267">
        <v>8.3820420000000002</v>
      </c>
      <c r="G267" s="35">
        <v>1160.5</v>
      </c>
      <c r="H267" s="36"/>
      <c r="I267" s="36"/>
      <c r="J267" s="37"/>
    </row>
    <row r="268" spans="4:10">
      <c r="D268" s="34">
        <v>45628</v>
      </c>
      <c r="E268">
        <v>4.7858580000000002</v>
      </c>
      <c r="G268" s="35">
        <v>1137.0999999999999</v>
      </c>
      <c r="H268" s="36"/>
      <c r="I268" s="36"/>
      <c r="J268" s="37"/>
    </row>
    <row r="269" spans="4:10">
      <c r="D269" s="34">
        <v>45625</v>
      </c>
      <c r="E269">
        <v>6.4062770000000002</v>
      </c>
      <c r="G269" s="35">
        <v>1136.3</v>
      </c>
      <c r="H269" s="36"/>
      <c r="I269" s="36"/>
      <c r="J269" s="37"/>
    </row>
    <row r="270" spans="4:10">
      <c r="D270" s="34">
        <v>45624</v>
      </c>
      <c r="E270">
        <v>10.731275</v>
      </c>
      <c r="G270" s="35">
        <v>1132.5</v>
      </c>
      <c r="H270" s="36"/>
      <c r="I270" s="36"/>
      <c r="J270" s="37"/>
    </row>
    <row r="271" spans="4:10">
      <c r="D271" s="34">
        <v>45623</v>
      </c>
      <c r="E271">
        <v>5.9899430000000002</v>
      </c>
      <c r="G271" s="35">
        <v>1149.6500000000001</v>
      </c>
      <c r="H271" s="36"/>
      <c r="I271" s="36"/>
      <c r="J271" s="37"/>
    </row>
    <row r="272" spans="4:10">
      <c r="D272" s="34">
        <v>45622</v>
      </c>
      <c r="E272">
        <v>5.1274369999999996</v>
      </c>
      <c r="G272" s="35">
        <v>1144.8</v>
      </c>
      <c r="H272" s="36"/>
      <c r="I272" s="36"/>
      <c r="J272" s="37"/>
    </row>
    <row r="273" spans="4:10">
      <c r="D273" s="34">
        <v>45621</v>
      </c>
      <c r="E273">
        <v>12.385823</v>
      </c>
      <c r="G273" s="35">
        <v>1155.9000000000001</v>
      </c>
      <c r="H273" s="36"/>
      <c r="I273" s="36"/>
      <c r="J273" s="37"/>
    </row>
    <row r="274" spans="4:10">
      <c r="D274" s="34">
        <v>45618</v>
      </c>
      <c r="E274">
        <v>16.687505000000002</v>
      </c>
      <c r="G274" s="35">
        <v>1142.4000000000001</v>
      </c>
      <c r="H274" s="36"/>
      <c r="I274" s="36"/>
      <c r="J274" s="37"/>
    </row>
    <row r="275" spans="4:10">
      <c r="D275" s="34">
        <v>45617</v>
      </c>
      <c r="E275">
        <v>8.1262480000000004</v>
      </c>
      <c r="G275" s="35">
        <v>1139.1500000000001</v>
      </c>
      <c r="H275" s="36"/>
      <c r="I275" s="36"/>
      <c r="J275" s="37"/>
    </row>
    <row r="276" spans="4:10">
      <c r="D276" s="34">
        <v>45615</v>
      </c>
      <c r="E276">
        <v>19.225966</v>
      </c>
      <c r="G276" s="35">
        <v>1133.95</v>
      </c>
      <c r="H276" s="36"/>
      <c r="I276" s="36"/>
      <c r="J276" s="37"/>
    </row>
    <row r="277" spans="4:10">
      <c r="D277" s="34">
        <v>45614</v>
      </c>
      <c r="E277">
        <v>9.474971</v>
      </c>
      <c r="G277" s="35">
        <v>1126.2</v>
      </c>
      <c r="H277" s="36"/>
      <c r="I277" s="36"/>
      <c r="J277" s="37"/>
    </row>
    <row r="278" spans="4:10">
      <c r="D278" s="34">
        <v>45610</v>
      </c>
      <c r="E278">
        <v>5.975873</v>
      </c>
      <c r="G278" s="35">
        <v>1140.7</v>
      </c>
      <c r="H278" s="36"/>
      <c r="I278" s="36"/>
      <c r="J278" s="37"/>
    </row>
    <row r="279" spans="4:10">
      <c r="D279" s="34">
        <v>45609</v>
      </c>
      <c r="E279">
        <v>8.0791129999999995</v>
      </c>
      <c r="G279" s="35">
        <v>1139.1500000000001</v>
      </c>
      <c r="H279" s="36"/>
      <c r="I279" s="36"/>
      <c r="J279" s="37"/>
    </row>
    <row r="280" spans="4:10">
      <c r="D280" s="34">
        <v>45608</v>
      </c>
      <c r="E280">
        <v>9.6060879999999997</v>
      </c>
      <c r="G280" s="35">
        <v>1158.1500000000001</v>
      </c>
      <c r="H280" s="36"/>
      <c r="I280" s="36"/>
      <c r="J280" s="37"/>
    </row>
    <row r="281" spans="4:10">
      <c r="D281" s="34">
        <v>45607</v>
      </c>
      <c r="E281">
        <v>6.6206779999999998</v>
      </c>
      <c r="G281" s="35">
        <v>1171</v>
      </c>
      <c r="H281" s="36"/>
      <c r="I281" s="36"/>
      <c r="J281" s="37"/>
    </row>
    <row r="282" spans="4:10">
      <c r="D282" s="34">
        <v>45604</v>
      </c>
      <c r="E282">
        <v>3.786168</v>
      </c>
      <c r="G282" s="35">
        <v>1160.95</v>
      </c>
      <c r="H282" s="36"/>
      <c r="I282" s="36"/>
      <c r="J282" s="37"/>
    </row>
    <row r="283" spans="4:10">
      <c r="D283" s="34">
        <v>45603</v>
      </c>
      <c r="E283">
        <v>6.2528889999999997</v>
      </c>
      <c r="G283" s="35">
        <v>1159.9000000000001</v>
      </c>
      <c r="H283" s="36"/>
      <c r="I283" s="36"/>
      <c r="J283" s="37"/>
    </row>
    <row r="284" spans="4:10">
      <c r="D284" s="34">
        <v>45602</v>
      </c>
      <c r="E284">
        <v>10.353505999999999</v>
      </c>
      <c r="G284" s="35">
        <v>1166.5</v>
      </c>
      <c r="H284" s="36"/>
      <c r="I284" s="36"/>
      <c r="J284" s="37"/>
    </row>
    <row r="285" spans="4:10">
      <c r="D285" s="34">
        <v>45601</v>
      </c>
      <c r="E285">
        <v>11.701048999999999</v>
      </c>
      <c r="G285" s="35">
        <v>1171.7</v>
      </c>
      <c r="H285" s="36"/>
      <c r="I285" s="36"/>
      <c r="J285" s="37"/>
    </row>
    <row r="286" spans="4:10">
      <c r="D286" s="34">
        <v>45600</v>
      </c>
      <c r="E286">
        <v>9.288653</v>
      </c>
      <c r="G286" s="35">
        <v>1139.25</v>
      </c>
      <c r="H286" s="36"/>
      <c r="I286" s="36"/>
      <c r="J286" s="37"/>
    </row>
    <row r="287" spans="4:10">
      <c r="D287" s="34">
        <v>45597</v>
      </c>
      <c r="E287">
        <v>0.460781</v>
      </c>
      <c r="G287" s="35">
        <v>1169.55</v>
      </c>
      <c r="H287" s="36"/>
      <c r="I287" s="36"/>
      <c r="J287" s="37"/>
    </row>
    <row r="288" spans="4:10">
      <c r="D288" s="34">
        <v>45596</v>
      </c>
      <c r="E288">
        <v>8.6822940000000006</v>
      </c>
      <c r="G288" s="35">
        <v>1159.55</v>
      </c>
      <c r="H288" s="36"/>
      <c r="I288" s="36"/>
      <c r="J288" s="37"/>
    </row>
    <row r="289" spans="4:10">
      <c r="D289" s="34">
        <v>45595</v>
      </c>
      <c r="E289">
        <v>9.6865600000000001</v>
      </c>
      <c r="G289" s="35">
        <v>1170.4000000000001</v>
      </c>
      <c r="H289" s="36"/>
      <c r="I289" s="36"/>
      <c r="J289" s="37"/>
    </row>
    <row r="290" spans="4:10">
      <c r="D290" s="34">
        <v>45594</v>
      </c>
      <c r="E290">
        <v>9.9089460000000003</v>
      </c>
      <c r="G290" s="35">
        <v>1186.8499999999999</v>
      </c>
      <c r="H290" s="36"/>
      <c r="I290" s="36"/>
      <c r="J290" s="37"/>
    </row>
    <row r="291" spans="4:10">
      <c r="D291" s="34">
        <v>45593</v>
      </c>
      <c r="E291">
        <v>8.5722430000000003</v>
      </c>
      <c r="G291" s="35">
        <v>1171.5999999999999</v>
      </c>
      <c r="H291" s="36"/>
      <c r="I291" s="36"/>
      <c r="J291" s="37"/>
    </row>
    <row r="292" spans="4:10">
      <c r="D292" s="34">
        <v>45590</v>
      </c>
      <c r="E292">
        <v>12.798716000000001</v>
      </c>
      <c r="G292" s="35">
        <v>1189.3499999999999</v>
      </c>
      <c r="H292" s="36"/>
      <c r="I292" s="36"/>
      <c r="J292" s="37"/>
    </row>
    <row r="293" spans="4:10">
      <c r="D293" s="34">
        <v>45589</v>
      </c>
      <c r="E293">
        <v>5.0467000000000004</v>
      </c>
      <c r="G293" s="35">
        <v>1167.3499999999999</v>
      </c>
      <c r="H293" s="36"/>
      <c r="I293" s="36"/>
      <c r="J293" s="37"/>
    </row>
    <row r="294" spans="4:10">
      <c r="D294" s="34">
        <v>45588</v>
      </c>
      <c r="E294">
        <v>6.5018339999999997</v>
      </c>
      <c r="G294" s="35">
        <v>1160.4000000000001</v>
      </c>
      <c r="H294" s="36"/>
      <c r="I294" s="36"/>
      <c r="J294" s="37"/>
    </row>
    <row r="295" spans="4:10">
      <c r="D295" s="34">
        <v>45587</v>
      </c>
      <c r="E295">
        <v>7.256246</v>
      </c>
      <c r="G295" s="35">
        <v>1175.75</v>
      </c>
      <c r="H295" s="36"/>
      <c r="I295" s="36"/>
      <c r="J295" s="37"/>
    </row>
    <row r="296" spans="4:10">
      <c r="D296" s="34">
        <v>45586</v>
      </c>
      <c r="E296">
        <v>7.4560380000000004</v>
      </c>
      <c r="G296" s="35">
        <v>1190.3</v>
      </c>
      <c r="H296" s="36"/>
      <c r="I296" s="36"/>
      <c r="J296" s="37"/>
    </row>
    <row r="297" spans="4:10">
      <c r="D297" s="34">
        <v>45583</v>
      </c>
      <c r="E297">
        <v>20.829666</v>
      </c>
      <c r="G297" s="35">
        <v>1196.8499999999999</v>
      </c>
      <c r="H297" s="36"/>
      <c r="I297" s="36"/>
      <c r="J297" s="37"/>
    </row>
    <row r="298" spans="4:10">
      <c r="D298" s="34">
        <v>45582</v>
      </c>
      <c r="E298">
        <v>6.5952310000000001</v>
      </c>
      <c r="G298" s="35">
        <v>1131.8499999999999</v>
      </c>
      <c r="H298" s="36"/>
      <c r="I298" s="36"/>
      <c r="J298" s="37"/>
    </row>
    <row r="299" spans="4:10">
      <c r="D299" s="34">
        <v>45581</v>
      </c>
      <c r="E299">
        <v>7.7398540000000002</v>
      </c>
      <c r="G299" s="35">
        <v>1153.2</v>
      </c>
      <c r="H299" s="36"/>
      <c r="I299" s="36"/>
      <c r="J299" s="37"/>
    </row>
    <row r="300" spans="4:10">
      <c r="D300" s="34">
        <v>45580</v>
      </c>
      <c r="E300">
        <v>8.7415160000000007</v>
      </c>
      <c r="G300" s="35">
        <v>1153.8499999999999</v>
      </c>
      <c r="H300" s="36"/>
      <c r="I300" s="36"/>
      <c r="J300" s="37"/>
    </row>
    <row r="301" spans="4:10">
      <c r="D301" s="34">
        <v>45579</v>
      </c>
      <c r="E301">
        <v>9.7652959999999993</v>
      </c>
      <c r="G301" s="35">
        <v>1164.3499999999999</v>
      </c>
      <c r="H301" s="36"/>
      <c r="I301" s="36"/>
      <c r="J301" s="37"/>
    </row>
    <row r="302" spans="4:10">
      <c r="D302" s="34">
        <v>45576</v>
      </c>
      <c r="E302">
        <v>4.7541580000000003</v>
      </c>
      <c r="G302" s="35">
        <v>1172.45</v>
      </c>
      <c r="H302" s="36"/>
      <c r="I302" s="36"/>
      <c r="J302" s="37"/>
    </row>
    <row r="303" spans="4:10">
      <c r="D303" s="34">
        <v>45575</v>
      </c>
      <c r="E303">
        <v>6.8062430000000003</v>
      </c>
      <c r="G303" s="35">
        <v>1184.25</v>
      </c>
      <c r="H303" s="36"/>
      <c r="I303" s="36"/>
      <c r="J303" s="37"/>
    </row>
    <row r="304" spans="4:10">
      <c r="D304" s="34">
        <v>45574</v>
      </c>
      <c r="E304">
        <v>9.807734</v>
      </c>
      <c r="G304" s="35">
        <v>1170.1500000000001</v>
      </c>
      <c r="H304" s="36"/>
      <c r="I304" s="36"/>
      <c r="J304" s="37"/>
    </row>
    <row r="305" spans="4:10">
      <c r="D305" s="34">
        <v>45573</v>
      </c>
      <c r="E305">
        <v>8.4645700000000001</v>
      </c>
      <c r="G305" s="35">
        <v>1153.3</v>
      </c>
      <c r="H305" s="36"/>
      <c r="I305" s="36"/>
      <c r="J305" s="37"/>
    </row>
    <row r="306" spans="4:10">
      <c r="D306" s="34">
        <v>45572</v>
      </c>
      <c r="E306">
        <v>20.047013</v>
      </c>
      <c r="G306" s="35">
        <v>1145.7</v>
      </c>
      <c r="H306" s="36"/>
      <c r="I306" s="36"/>
      <c r="J306" s="37"/>
    </row>
    <row r="307" spans="4:10">
      <c r="D307" s="34">
        <v>45569</v>
      </c>
      <c r="E307">
        <v>13.064515</v>
      </c>
      <c r="G307" s="35">
        <v>1178.4000000000001</v>
      </c>
      <c r="H307" s="36"/>
      <c r="I307" s="36"/>
      <c r="J307" s="37"/>
    </row>
    <row r="308" spans="4:10">
      <c r="D308" s="34">
        <v>45568</v>
      </c>
      <c r="E308">
        <v>17.300892000000001</v>
      </c>
      <c r="G308" s="35">
        <v>1175.7</v>
      </c>
      <c r="H308" s="36"/>
      <c r="I308" s="36"/>
      <c r="J308" s="37"/>
    </row>
    <row r="309" spans="4:10">
      <c r="D309" s="34">
        <v>45566</v>
      </c>
      <c r="E309">
        <v>11.16428</v>
      </c>
      <c r="G309" s="35">
        <v>1226.6500000000001</v>
      </c>
      <c r="H309" s="36"/>
      <c r="I309" s="36"/>
      <c r="J309" s="37"/>
    </row>
    <row r="310" spans="4:10">
      <c r="D310" s="34">
        <v>45565</v>
      </c>
      <c r="E310">
        <v>8.4669190000000008</v>
      </c>
      <c r="G310" s="35">
        <v>1232.2</v>
      </c>
      <c r="H310" s="36"/>
      <c r="I310" s="36"/>
      <c r="J310" s="37"/>
    </row>
    <row r="311" spans="4:10">
      <c r="D311" s="34">
        <v>45562</v>
      </c>
      <c r="E311">
        <v>13.372026999999999</v>
      </c>
      <c r="G311" s="35">
        <v>1273.1500000000001</v>
      </c>
      <c r="H311" s="36"/>
      <c r="I311" s="36"/>
      <c r="J311" s="37"/>
    </row>
    <row r="312" spans="4:10">
      <c r="D312" s="34">
        <v>45561</v>
      </c>
      <c r="E312">
        <v>7.2700779999999998</v>
      </c>
      <c r="G312" s="35">
        <v>1277.0999999999999</v>
      </c>
      <c r="H312" s="36"/>
      <c r="I312" s="36"/>
      <c r="J312" s="37"/>
    </row>
    <row r="313" spans="4:10">
      <c r="D313" s="34">
        <v>45560</v>
      </c>
      <c r="E313">
        <v>6.8533239999999997</v>
      </c>
      <c r="G313" s="35">
        <v>1268.0999999999999</v>
      </c>
      <c r="H313" s="36"/>
      <c r="I313" s="36"/>
      <c r="J313" s="37"/>
    </row>
    <row r="314" spans="4:10">
      <c r="D314" s="34">
        <v>45559</v>
      </c>
      <c r="E314">
        <v>9.2259460000000004</v>
      </c>
      <c r="G314" s="35">
        <v>1239.55</v>
      </c>
      <c r="H314" s="36"/>
      <c r="I314" s="36"/>
      <c r="J314" s="37"/>
    </row>
    <row r="315" spans="4:10">
      <c r="D315" s="34">
        <v>45558</v>
      </c>
      <c r="E315">
        <v>5.4628139999999998</v>
      </c>
      <c r="G315" s="35">
        <v>1246.8</v>
      </c>
      <c r="H315" s="36"/>
      <c r="I315" s="36"/>
      <c r="J315" s="37"/>
    </row>
    <row r="316" spans="4:10">
      <c r="D316" s="34">
        <v>45555</v>
      </c>
      <c r="E316">
        <v>15.009629</v>
      </c>
      <c r="G316" s="35">
        <v>1245</v>
      </c>
      <c r="H316" s="36"/>
      <c r="I316" s="36"/>
      <c r="J316" s="37"/>
    </row>
    <row r="317" spans="4:10">
      <c r="D317" s="34">
        <v>45554</v>
      </c>
      <c r="E317">
        <v>8.4498639999999998</v>
      </c>
      <c r="G317" s="35">
        <v>1242.7</v>
      </c>
      <c r="H317" s="36"/>
      <c r="I317" s="36"/>
      <c r="J317" s="37"/>
    </row>
    <row r="318" spans="4:10">
      <c r="D318" s="34">
        <v>45553</v>
      </c>
      <c r="E318">
        <v>8.2100340000000003</v>
      </c>
      <c r="G318" s="35">
        <v>1240.45</v>
      </c>
      <c r="H318" s="36"/>
      <c r="I318" s="36"/>
      <c r="J318" s="37"/>
    </row>
    <row r="319" spans="4:10">
      <c r="D319" s="34">
        <v>45552</v>
      </c>
      <c r="E319">
        <v>8.0304269999999995</v>
      </c>
      <c r="G319" s="35">
        <v>1232.0999999999999</v>
      </c>
      <c r="H319" s="36"/>
      <c r="I319" s="36"/>
      <c r="J319" s="37"/>
    </row>
    <row r="320" spans="4:10">
      <c r="D320" s="34">
        <v>45551</v>
      </c>
      <c r="E320">
        <v>4.0392840000000003</v>
      </c>
      <c r="G320" s="35">
        <v>1231.05</v>
      </c>
      <c r="H320" s="36"/>
      <c r="I320" s="36"/>
      <c r="J320" s="37"/>
    </row>
    <row r="321" spans="4:10">
      <c r="D321" s="34">
        <v>45548</v>
      </c>
      <c r="E321">
        <v>6.7625659999999996</v>
      </c>
      <c r="G321" s="35">
        <v>1217.45</v>
      </c>
      <c r="H321" s="36"/>
      <c r="I321" s="36"/>
      <c r="J321" s="37"/>
    </row>
    <row r="322" spans="4:10">
      <c r="D322" s="34">
        <v>45547</v>
      </c>
      <c r="E322">
        <v>7.5928709999999997</v>
      </c>
      <c r="G322" s="35">
        <v>1203.3499999999999</v>
      </c>
      <c r="H322" s="36"/>
      <c r="I322" s="36"/>
      <c r="J322" s="37"/>
    </row>
    <row r="323" spans="4:10">
      <c r="D323" s="34">
        <v>45546</v>
      </c>
      <c r="E323">
        <v>6.0003289999999998</v>
      </c>
      <c r="G323" s="35">
        <v>1186.0999999999999</v>
      </c>
      <c r="H323" s="36"/>
      <c r="I323" s="36"/>
      <c r="J323" s="37"/>
    </row>
    <row r="324" spans="4:10">
      <c r="D324" s="34">
        <v>45545</v>
      </c>
      <c r="E324">
        <v>8.7238539999999993</v>
      </c>
      <c r="G324" s="35">
        <v>1187.2</v>
      </c>
      <c r="H324" s="36"/>
      <c r="I324" s="36"/>
      <c r="J324" s="37"/>
    </row>
    <row r="325" spans="4:10">
      <c r="D325" s="34">
        <v>45544</v>
      </c>
      <c r="E325">
        <v>7.7009400000000001</v>
      </c>
      <c r="G325" s="35">
        <v>1170.8499999999999</v>
      </c>
      <c r="H325" s="36"/>
      <c r="I325" s="36"/>
      <c r="J325" s="37"/>
    </row>
    <row r="326" spans="4:10">
      <c r="D326" s="34">
        <v>45541</v>
      </c>
      <c r="E326">
        <v>9.8745759999999994</v>
      </c>
      <c r="G326" s="35">
        <v>1158.75</v>
      </c>
      <c r="H326" s="36"/>
      <c r="I326" s="36"/>
      <c r="J326" s="37"/>
    </row>
    <row r="327" spans="4:10">
      <c r="D327" s="34">
        <v>45540</v>
      </c>
      <c r="E327">
        <v>4.2347659999999996</v>
      </c>
      <c r="G327" s="35">
        <v>1180.55</v>
      </c>
      <c r="H327" s="36"/>
      <c r="I327" s="36"/>
      <c r="J327" s="37"/>
    </row>
    <row r="328" spans="4:10">
      <c r="D328" s="34">
        <v>45539</v>
      </c>
      <c r="E328">
        <v>6.5279410000000002</v>
      </c>
      <c r="G328" s="35">
        <v>1177.7</v>
      </c>
      <c r="H328" s="36"/>
      <c r="I328" s="36"/>
      <c r="J328" s="37"/>
    </row>
    <row r="329" spans="4:10">
      <c r="D329" s="34">
        <v>45538</v>
      </c>
      <c r="E329">
        <v>7.9202459999999997</v>
      </c>
      <c r="G329" s="35">
        <v>1191.5999999999999</v>
      </c>
      <c r="H329" s="36"/>
      <c r="I329" s="36"/>
      <c r="J329" s="37"/>
    </row>
    <row r="330" spans="4:10">
      <c r="D330" s="34">
        <v>45537</v>
      </c>
      <c r="E330">
        <v>6.4323620000000004</v>
      </c>
      <c r="G330" s="35">
        <v>1188.8</v>
      </c>
      <c r="H330" s="36"/>
      <c r="I330" s="36"/>
      <c r="J330" s="37"/>
    </row>
    <row r="331" spans="4:10">
      <c r="D331" s="34">
        <v>45534</v>
      </c>
      <c r="E331">
        <v>10.190505999999999</v>
      </c>
      <c r="G331" s="35">
        <v>1175.25</v>
      </c>
      <c r="H331" s="36"/>
      <c r="I331" s="36"/>
      <c r="J331" s="37"/>
    </row>
    <row r="332" spans="4:10">
      <c r="D332" s="34">
        <v>45533</v>
      </c>
      <c r="E332">
        <v>7.290114</v>
      </c>
      <c r="G332" s="35">
        <v>1175.4000000000001</v>
      </c>
      <c r="H332" s="36"/>
      <c r="I332" s="36"/>
      <c r="J332" s="37"/>
    </row>
    <row r="333" spans="4:10">
      <c r="D333" s="34">
        <v>45532</v>
      </c>
      <c r="E333">
        <v>5.4835029999999998</v>
      </c>
      <c r="G333" s="35">
        <v>1170.95</v>
      </c>
      <c r="H333" s="36"/>
      <c r="I333" s="36"/>
      <c r="J333" s="37"/>
    </row>
    <row r="334" spans="4:10">
      <c r="D334" s="34">
        <v>45531</v>
      </c>
      <c r="E334">
        <v>8.7021130000000007</v>
      </c>
      <c r="G334" s="35">
        <v>1181.25</v>
      </c>
      <c r="H334" s="36"/>
      <c r="I334" s="36"/>
      <c r="J334" s="37"/>
    </row>
    <row r="335" spans="4:10">
      <c r="D335" s="34">
        <v>45530</v>
      </c>
      <c r="E335">
        <v>3.3926120000000002</v>
      </c>
      <c r="G335" s="35">
        <v>1170.3</v>
      </c>
      <c r="H335" s="36"/>
      <c r="I335" s="36"/>
      <c r="J335" s="37"/>
    </row>
    <row r="336" spans="4:10">
      <c r="D336" s="34">
        <v>45527</v>
      </c>
      <c r="E336">
        <v>5.1219619999999999</v>
      </c>
      <c r="G336" s="35">
        <v>1165.95</v>
      </c>
      <c r="H336" s="36"/>
      <c r="I336" s="36"/>
      <c r="J336" s="37"/>
    </row>
    <row r="337" spans="4:10">
      <c r="D337" s="34">
        <v>45526</v>
      </c>
      <c r="E337">
        <v>5.8413259999999996</v>
      </c>
      <c r="G337" s="35">
        <v>1169.95</v>
      </c>
      <c r="H337" s="36"/>
      <c r="I337" s="36"/>
      <c r="J337" s="37"/>
    </row>
    <row r="338" spans="4:10">
      <c r="D338" s="34">
        <v>45525</v>
      </c>
      <c r="E338">
        <v>9.4806299999999997</v>
      </c>
      <c r="G338" s="35">
        <v>1174.4000000000001</v>
      </c>
      <c r="H338" s="36"/>
      <c r="I338" s="36"/>
      <c r="J338" s="37"/>
    </row>
    <row r="339" spans="4:10">
      <c r="D339" s="34">
        <v>45524</v>
      </c>
      <c r="E339">
        <v>6.721749</v>
      </c>
      <c r="G339" s="35">
        <v>1168</v>
      </c>
      <c r="H339" s="36"/>
      <c r="I339" s="36"/>
      <c r="J339" s="37"/>
    </row>
    <row r="340" spans="4:10">
      <c r="D340" s="34">
        <v>45523</v>
      </c>
      <c r="E340">
        <v>6.6918230000000003</v>
      </c>
      <c r="G340" s="35">
        <v>1153.25</v>
      </c>
      <c r="H340" s="36"/>
      <c r="I340" s="36"/>
      <c r="J340" s="37"/>
    </row>
    <row r="341" spans="4:10">
      <c r="D341" s="34">
        <v>45520</v>
      </c>
      <c r="E341">
        <v>6.1071340000000003</v>
      </c>
      <c r="G341" s="35">
        <v>1166.8499999999999</v>
      </c>
      <c r="H341" s="36"/>
      <c r="I341" s="36"/>
      <c r="J341" s="37"/>
    </row>
    <row r="342" spans="4:10">
      <c r="D342" s="34">
        <v>45518</v>
      </c>
      <c r="E342">
        <v>5.0218410000000002</v>
      </c>
      <c r="G342" s="35">
        <v>1153.0999999999999</v>
      </c>
      <c r="H342" s="36"/>
      <c r="I342" s="36"/>
      <c r="J342" s="37"/>
    </row>
    <row r="343" spans="4:10">
      <c r="D343" s="34">
        <v>45517</v>
      </c>
      <c r="E343">
        <v>6.1804629999999996</v>
      </c>
      <c r="G343" s="35">
        <v>1159.5999999999999</v>
      </c>
      <c r="H343" s="36"/>
      <c r="I343" s="36"/>
      <c r="J343" s="37"/>
    </row>
    <row r="344" spans="4:10">
      <c r="D344" s="34">
        <v>45516</v>
      </c>
      <c r="E344">
        <v>9.0783839999999998</v>
      </c>
      <c r="G344" s="35">
        <v>1164.3</v>
      </c>
      <c r="H344" s="36"/>
      <c r="I344" s="36"/>
      <c r="J344" s="37"/>
    </row>
    <row r="345" spans="4:10">
      <c r="D345" s="34">
        <v>45513</v>
      </c>
      <c r="E345">
        <v>6.262086</v>
      </c>
      <c r="G345" s="35">
        <v>1142.75</v>
      </c>
      <c r="H345" s="36"/>
      <c r="I345" s="36"/>
      <c r="J345" s="37"/>
    </row>
    <row r="346" spans="4:10">
      <c r="D346" s="34">
        <v>45512</v>
      </c>
      <c r="E346">
        <v>7.9034279999999999</v>
      </c>
      <c r="G346" s="35">
        <v>1138.1500000000001</v>
      </c>
      <c r="H346" s="36"/>
      <c r="I346" s="36"/>
      <c r="J346" s="37"/>
    </row>
    <row r="347" spans="4:10">
      <c r="D347" s="34">
        <v>45511</v>
      </c>
      <c r="E347">
        <v>8.3703120000000002</v>
      </c>
      <c r="G347" s="35">
        <v>1136.8</v>
      </c>
      <c r="H347" s="36"/>
      <c r="I347" s="36"/>
      <c r="J347" s="37"/>
    </row>
    <row r="348" spans="4:10">
      <c r="D348" s="34">
        <v>45510</v>
      </c>
      <c r="E348">
        <v>8.5711220000000008</v>
      </c>
      <c r="G348" s="35">
        <v>1126.0999999999999</v>
      </c>
      <c r="H348" s="36"/>
      <c r="I348" s="36"/>
      <c r="J348" s="37"/>
    </row>
    <row r="349" spans="4:10">
      <c r="D349" s="34">
        <v>45509</v>
      </c>
      <c r="E349">
        <v>12.013362000000001</v>
      </c>
      <c r="G349" s="35">
        <v>1133.5</v>
      </c>
      <c r="H349" s="36"/>
      <c r="I349" s="36"/>
      <c r="J349" s="37"/>
    </row>
    <row r="350" spans="4:10">
      <c r="D350" s="34">
        <v>45506</v>
      </c>
      <c r="E350">
        <v>10.581445</v>
      </c>
      <c r="G350" s="35">
        <v>1160.8499999999999</v>
      </c>
      <c r="H350" s="36"/>
      <c r="I350" s="36"/>
      <c r="J350" s="37"/>
    </row>
    <row r="351" spans="4:10">
      <c r="D351" s="34">
        <v>45505</v>
      </c>
      <c r="E351">
        <v>11.1905</v>
      </c>
      <c r="G351" s="35">
        <v>1172.3</v>
      </c>
      <c r="H351" s="36"/>
      <c r="I351" s="36"/>
      <c r="J351" s="37"/>
    </row>
    <row r="352" spans="4:10">
      <c r="D352" s="34">
        <v>45504</v>
      </c>
      <c r="E352">
        <v>17.347076000000001</v>
      </c>
      <c r="G352" s="35">
        <v>1166.0999999999999</v>
      </c>
      <c r="H352" s="36"/>
      <c r="I352" s="36"/>
      <c r="J352" s="37"/>
    </row>
    <row r="353" spans="4:10">
      <c r="D353" s="34">
        <v>45503</v>
      </c>
      <c r="E353">
        <v>18.090045</v>
      </c>
      <c r="G353" s="35">
        <v>1170</v>
      </c>
      <c r="H353" s="36"/>
      <c r="I353" s="36"/>
      <c r="J353" s="37"/>
    </row>
    <row r="354" spans="4:10">
      <c r="D354" s="34">
        <v>45502</v>
      </c>
      <c r="E354">
        <v>19.598572999999998</v>
      </c>
      <c r="G354" s="35">
        <v>1170.05</v>
      </c>
      <c r="H354" s="36"/>
      <c r="I354" s="36"/>
      <c r="J354" s="37"/>
    </row>
    <row r="355" spans="4:10">
      <c r="D355" s="34">
        <v>45499</v>
      </c>
      <c r="E355">
        <v>18.554648</v>
      </c>
      <c r="G355" s="35">
        <v>1177.3499999999999</v>
      </c>
      <c r="H355" s="36"/>
      <c r="I355" s="36"/>
      <c r="J355" s="37"/>
    </row>
    <row r="356" spans="4:10">
      <c r="D356" s="34">
        <v>45498</v>
      </c>
      <c r="E356">
        <v>32.979871000000003</v>
      </c>
      <c r="G356" s="35">
        <v>1175.9000000000001</v>
      </c>
      <c r="H356" s="36"/>
      <c r="I356" s="36"/>
      <c r="J356" s="37"/>
    </row>
    <row r="357" spans="4:10">
      <c r="D357" s="34">
        <v>45497</v>
      </c>
      <c r="E357">
        <v>10.344860000000001</v>
      </c>
      <c r="G357" s="35">
        <v>1239.25</v>
      </c>
      <c r="H357" s="36"/>
      <c r="I357" s="36"/>
      <c r="J357" s="37"/>
    </row>
    <row r="358" spans="4:10">
      <c r="D358" s="34">
        <v>45496</v>
      </c>
      <c r="E358">
        <v>8.7893270000000001</v>
      </c>
      <c r="G358" s="35">
        <v>1263.25</v>
      </c>
      <c r="H358" s="36"/>
      <c r="I358" s="36"/>
      <c r="J358" s="37"/>
    </row>
    <row r="359" spans="4:10">
      <c r="D359" s="34">
        <v>45495</v>
      </c>
      <c r="E359">
        <v>6.695557</v>
      </c>
      <c r="G359" s="35">
        <v>1282.5</v>
      </c>
      <c r="H359" s="36"/>
      <c r="I359" s="36"/>
      <c r="J359" s="37"/>
    </row>
    <row r="360" spans="4:10">
      <c r="D360" s="34">
        <v>45492</v>
      </c>
      <c r="E360">
        <v>4.4960659999999999</v>
      </c>
      <c r="G360" s="35">
        <v>1292.3499999999999</v>
      </c>
      <c r="H360" s="36"/>
      <c r="I360" s="36"/>
      <c r="J360" s="37"/>
    </row>
    <row r="361" spans="4:10">
      <c r="D361" s="34">
        <v>45491</v>
      </c>
      <c r="E361">
        <v>6.7875110000000003</v>
      </c>
      <c r="G361" s="35">
        <v>1309.4000000000001</v>
      </c>
      <c r="H361" s="36"/>
      <c r="I361" s="36"/>
      <c r="J361" s="37"/>
    </row>
    <row r="362" spans="4:10">
      <c r="D362" s="34">
        <v>45489</v>
      </c>
      <c r="E362">
        <v>5.4332640000000003</v>
      </c>
      <c r="G362" s="35">
        <v>1304</v>
      </c>
      <c r="H362" s="36"/>
      <c r="I362" s="36"/>
      <c r="J362" s="37"/>
    </row>
    <row r="363" spans="4:10">
      <c r="D363" s="34">
        <v>45488</v>
      </c>
      <c r="E363">
        <v>11.537127</v>
      </c>
      <c r="G363" s="35">
        <v>1307.45</v>
      </c>
      <c r="H363" s="36"/>
      <c r="I363" s="36"/>
      <c r="J363" s="37"/>
    </row>
    <row r="364" spans="4:10">
      <c r="D364" s="34">
        <v>45485</v>
      </c>
      <c r="E364">
        <v>11.278987000000001</v>
      </c>
      <c r="G364" s="35">
        <v>1317.3</v>
      </c>
      <c r="H364" s="36"/>
      <c r="I364" s="36"/>
      <c r="J364" s="37"/>
    </row>
    <row r="365" spans="4:10">
      <c r="D365" s="34">
        <v>45484</v>
      </c>
      <c r="E365">
        <v>7.848846</v>
      </c>
      <c r="G365" s="35">
        <v>1296.75</v>
      </c>
      <c r="H365" s="36"/>
      <c r="I365" s="36"/>
      <c r="J365" s="37"/>
    </row>
    <row r="366" spans="4:10">
      <c r="D366" s="34">
        <v>45483</v>
      </c>
      <c r="E366">
        <v>9.0204889999999995</v>
      </c>
      <c r="G366" s="35">
        <v>1291.6500000000001</v>
      </c>
      <c r="H366" s="36"/>
      <c r="I366" s="36"/>
      <c r="J366" s="37"/>
    </row>
    <row r="367" spans="4:10">
      <c r="D367" s="34">
        <v>45482</v>
      </c>
      <c r="E367">
        <v>6.9303400000000002</v>
      </c>
      <c r="G367" s="35">
        <v>1289.4000000000001</v>
      </c>
      <c r="H367" s="36"/>
      <c r="I367" s="36"/>
      <c r="J367" s="37"/>
    </row>
    <row r="368" spans="4:10">
      <c r="D368" s="34">
        <v>45481</v>
      </c>
      <c r="E368">
        <v>4.2169509999999999</v>
      </c>
      <c r="G368" s="35">
        <v>1287.8499999999999</v>
      </c>
      <c r="H368" s="36"/>
      <c r="I368" s="36"/>
      <c r="J368" s="37"/>
    </row>
    <row r="369" spans="4:10">
      <c r="D369" s="34">
        <v>45478</v>
      </c>
      <c r="E369">
        <v>8.5935020000000009</v>
      </c>
      <c r="G369" s="35">
        <v>1287.05</v>
      </c>
      <c r="H369" s="36"/>
      <c r="I369" s="36"/>
      <c r="J369" s="37"/>
    </row>
    <row r="370" spans="4:10">
      <c r="D370" s="34">
        <v>45477</v>
      </c>
      <c r="E370">
        <v>4.81738</v>
      </c>
      <c r="G370" s="35">
        <v>1280.9000000000001</v>
      </c>
      <c r="H370" s="36"/>
      <c r="I370" s="36"/>
      <c r="J370" s="37"/>
    </row>
    <row r="371" spans="4:10">
      <c r="D371" s="34">
        <v>45476</v>
      </c>
      <c r="E371">
        <v>15.171347000000001</v>
      </c>
      <c r="G371" s="35">
        <v>1280</v>
      </c>
      <c r="H371" s="36"/>
      <c r="I371" s="36"/>
      <c r="J371" s="37"/>
    </row>
    <row r="372" spans="4:10">
      <c r="D372" s="34">
        <v>45475</v>
      </c>
      <c r="E372">
        <v>9.9454469999999997</v>
      </c>
      <c r="G372" s="35">
        <v>1253.4000000000001</v>
      </c>
      <c r="H372" s="36"/>
      <c r="I372" s="36"/>
      <c r="J372" s="37"/>
    </row>
    <row r="373" spans="4:10">
      <c r="D373" s="34">
        <v>45474</v>
      </c>
      <c r="E373">
        <v>5.797015</v>
      </c>
      <c r="G373" s="35">
        <v>1261.9000000000001</v>
      </c>
      <c r="H373" s="36"/>
      <c r="I373" s="36"/>
      <c r="J373" s="37"/>
    </row>
    <row r="374" spans="4:10">
      <c r="D374" s="34">
        <v>45471</v>
      </c>
      <c r="E374">
        <v>7.1670689999999997</v>
      </c>
      <c r="G374" s="35">
        <v>1265.25</v>
      </c>
      <c r="H374" s="36"/>
      <c r="I374" s="36"/>
      <c r="J374" s="37"/>
    </row>
    <row r="375" spans="4:10">
      <c r="D375" s="34">
        <v>45470</v>
      </c>
      <c r="E375">
        <v>22.311392999999999</v>
      </c>
      <c r="G375" s="35">
        <v>1288.95</v>
      </c>
      <c r="H375" s="36"/>
      <c r="I375" s="36"/>
      <c r="J375" s="37"/>
    </row>
    <row r="376" spans="4:10">
      <c r="D376" s="34">
        <v>45469</v>
      </c>
      <c r="E376">
        <v>13.95637</v>
      </c>
      <c r="G376" s="35">
        <v>1285.4000000000001</v>
      </c>
      <c r="H376" s="36"/>
      <c r="I376" s="36"/>
      <c r="J376" s="37"/>
    </row>
    <row r="377" spans="4:10">
      <c r="D377" s="34">
        <v>45468</v>
      </c>
      <c r="E377">
        <v>17.607952000000001</v>
      </c>
      <c r="G377" s="35">
        <v>1271.45</v>
      </c>
      <c r="H377" s="36"/>
      <c r="I377" s="36"/>
      <c r="J377" s="37"/>
    </row>
    <row r="378" spans="4:10">
      <c r="D378" s="34">
        <v>45467</v>
      </c>
      <c r="E378">
        <v>6.6765299999999996</v>
      </c>
      <c r="G378" s="35">
        <v>1228.0999999999999</v>
      </c>
      <c r="H378" s="36"/>
      <c r="I378" s="36"/>
      <c r="J378" s="37"/>
    </row>
    <row r="379" spans="4:10">
      <c r="D379" s="34">
        <v>45464</v>
      </c>
      <c r="E379">
        <v>29.311313999999999</v>
      </c>
      <c r="G379" s="35">
        <v>1237.45</v>
      </c>
      <c r="H379" s="36"/>
      <c r="I379" s="36"/>
      <c r="J379" s="37"/>
    </row>
    <row r="380" spans="4:10">
      <c r="D380" s="34">
        <v>45463</v>
      </c>
      <c r="E380">
        <v>8.2068580000000004</v>
      </c>
      <c r="G380" s="35">
        <v>1239.5</v>
      </c>
      <c r="H380" s="36"/>
      <c r="I380" s="36"/>
      <c r="J380" s="37"/>
    </row>
    <row r="381" spans="4:10">
      <c r="D381" s="34">
        <v>45462</v>
      </c>
      <c r="E381">
        <v>17.987437</v>
      </c>
      <c r="G381" s="35">
        <v>1226.6500000000001</v>
      </c>
      <c r="H381" s="36"/>
      <c r="I381" s="36"/>
      <c r="J381" s="37"/>
    </row>
    <row r="382" spans="4:10">
      <c r="D382" s="34">
        <v>45461</v>
      </c>
      <c r="E382">
        <v>6.8371810000000002</v>
      </c>
      <c r="G382" s="35">
        <v>1191.9000000000001</v>
      </c>
      <c r="H382" s="36"/>
      <c r="I382" s="36"/>
      <c r="J382" s="37"/>
    </row>
    <row r="383" spans="4:10">
      <c r="D383" s="34">
        <v>45457</v>
      </c>
      <c r="E383">
        <v>4.4510310000000004</v>
      </c>
      <c r="G383" s="35">
        <v>1181.05</v>
      </c>
      <c r="H383" s="36"/>
      <c r="I383" s="36"/>
      <c r="J383" s="37"/>
    </row>
    <row r="384" spans="4:10">
      <c r="D384" s="34">
        <v>45456</v>
      </c>
      <c r="E384">
        <v>5.321148</v>
      </c>
      <c r="G384" s="35">
        <v>1174.6500000000001</v>
      </c>
      <c r="H384" s="36"/>
      <c r="I384" s="36"/>
      <c r="J384" s="37"/>
    </row>
    <row r="385" spans="4:10">
      <c r="D385" s="34">
        <v>45455</v>
      </c>
      <c r="E385">
        <v>7.1997179999999998</v>
      </c>
      <c r="G385" s="35">
        <v>1187.9000000000001</v>
      </c>
      <c r="H385" s="36"/>
      <c r="I385" s="36"/>
      <c r="J385" s="37"/>
    </row>
    <row r="386" spans="4:10">
      <c r="D386" s="34">
        <v>45454</v>
      </c>
      <c r="E386">
        <v>9.390212</v>
      </c>
      <c r="G386" s="35">
        <v>1194.5999999999999</v>
      </c>
      <c r="H386" s="36"/>
      <c r="I386" s="36"/>
      <c r="J386" s="37"/>
    </row>
    <row r="387" spans="4:10">
      <c r="D387" s="34">
        <v>45453</v>
      </c>
      <c r="E387">
        <v>9.9950569999999992</v>
      </c>
      <c r="G387" s="35">
        <v>1200</v>
      </c>
      <c r="H387" s="36"/>
      <c r="I387" s="36"/>
      <c r="J387" s="37"/>
    </row>
    <row r="388" spans="4:10">
      <c r="D388" s="34">
        <v>45450</v>
      </c>
      <c r="E388">
        <v>8.5839979999999994</v>
      </c>
      <c r="G388" s="35">
        <v>1186.8</v>
      </c>
      <c r="H388" s="36"/>
      <c r="I388" s="36"/>
      <c r="J388" s="37"/>
    </row>
    <row r="389" spans="4:10">
      <c r="D389" s="34">
        <v>45449</v>
      </c>
      <c r="E389">
        <v>12.006879</v>
      </c>
      <c r="G389" s="35">
        <v>1170.95</v>
      </c>
      <c r="H389" s="36"/>
      <c r="I389" s="36"/>
      <c r="J389" s="37"/>
    </row>
    <row r="390" spans="4:10">
      <c r="D390" s="34">
        <v>45448</v>
      </c>
      <c r="E390">
        <v>21.039498999999999</v>
      </c>
      <c r="G390" s="35">
        <v>1184.5</v>
      </c>
      <c r="H390" s="36"/>
      <c r="I390" s="36"/>
      <c r="J390" s="37"/>
    </row>
    <row r="391" spans="4:10">
      <c r="D391" s="34">
        <v>45447</v>
      </c>
      <c r="E391">
        <v>24.135988999999999</v>
      </c>
      <c r="G391" s="35">
        <v>1131.25</v>
      </c>
      <c r="H391" s="36"/>
      <c r="I391" s="36"/>
      <c r="J391" s="37"/>
    </row>
    <row r="392" spans="4:10">
      <c r="D392" s="34">
        <v>45446</v>
      </c>
      <c r="E392">
        <v>22.197338999999999</v>
      </c>
      <c r="G392" s="35">
        <v>1223.9000000000001</v>
      </c>
      <c r="H392" s="36"/>
      <c r="I392" s="36"/>
      <c r="J392" s="37"/>
    </row>
    <row r="393" spans="4:10">
      <c r="D393" s="34">
        <v>45443</v>
      </c>
      <c r="E393">
        <v>10.057642</v>
      </c>
      <c r="G393" s="35">
        <v>1162.1500000000001</v>
      </c>
      <c r="H393" s="36"/>
      <c r="I393" s="36"/>
      <c r="J393" s="37"/>
    </row>
    <row r="394" spans="4:10">
      <c r="D394" s="34">
        <v>45442</v>
      </c>
      <c r="E394">
        <v>7.2322170000000003</v>
      </c>
      <c r="G394" s="35">
        <v>1167.95</v>
      </c>
      <c r="H394" s="36"/>
      <c r="I394" s="36"/>
      <c r="J394" s="37"/>
    </row>
    <row r="395" spans="4:10">
      <c r="D395" s="34">
        <v>45441</v>
      </c>
      <c r="E395">
        <v>9.4180639999999993</v>
      </c>
      <c r="G395" s="35">
        <v>1159.75</v>
      </c>
      <c r="H395" s="36"/>
      <c r="I395" s="36"/>
      <c r="J395" s="37"/>
    </row>
    <row r="396" spans="4:10">
      <c r="D396" s="34">
        <v>45440</v>
      </c>
      <c r="E396">
        <v>4.0187759999999999</v>
      </c>
      <c r="G396" s="35">
        <v>1183.4000000000001</v>
      </c>
      <c r="H396" s="36"/>
      <c r="I396" s="36"/>
      <c r="J396" s="37"/>
    </row>
    <row r="397" spans="4:10">
      <c r="D397" s="34">
        <v>45439</v>
      </c>
      <c r="E397">
        <v>10.450046</v>
      </c>
      <c r="G397" s="35">
        <v>1187</v>
      </c>
      <c r="H397" s="36"/>
      <c r="I397" s="36"/>
      <c r="J397" s="37"/>
    </row>
    <row r="398" spans="4:10">
      <c r="D398" s="34">
        <v>45436</v>
      </c>
      <c r="E398">
        <v>8.814997</v>
      </c>
      <c r="G398" s="35">
        <v>1174</v>
      </c>
      <c r="H398" s="36"/>
      <c r="I398" s="36"/>
      <c r="J398" s="37"/>
    </row>
    <row r="399" spans="4:10">
      <c r="D399" s="34">
        <v>45435</v>
      </c>
      <c r="E399">
        <v>12.818080999999999</v>
      </c>
      <c r="G399" s="35">
        <v>1165.25</v>
      </c>
      <c r="H399" s="36"/>
      <c r="I399" s="36"/>
      <c r="J399" s="37"/>
    </row>
    <row r="400" spans="4:10">
      <c r="D400" s="34">
        <v>45434</v>
      </c>
      <c r="E400">
        <v>9.0940329999999996</v>
      </c>
      <c r="G400" s="35">
        <v>1126</v>
      </c>
      <c r="H400" s="36"/>
      <c r="I400" s="36"/>
      <c r="J400" s="37"/>
    </row>
    <row r="401" spans="4:10">
      <c r="D401" s="34">
        <v>45433</v>
      </c>
      <c r="E401">
        <v>8.1620170000000005</v>
      </c>
      <c r="G401" s="35">
        <v>1137.6500000000001</v>
      </c>
      <c r="H401" s="36"/>
      <c r="I401" s="36"/>
      <c r="J401" s="37"/>
    </row>
    <row r="402" spans="4:10">
      <c r="D402" s="34">
        <v>45430</v>
      </c>
      <c r="E402">
        <v>0.16975699999999999</v>
      </c>
      <c r="G402" s="35">
        <v>1143.75</v>
      </c>
      <c r="H402" s="36"/>
      <c r="I402" s="36"/>
      <c r="J402" s="37"/>
    </row>
    <row r="403" spans="4:10">
      <c r="D403" s="34">
        <v>45429</v>
      </c>
      <c r="E403">
        <v>9.909986</v>
      </c>
      <c r="G403" s="35">
        <v>1141.3499999999999</v>
      </c>
      <c r="H403" s="36"/>
      <c r="I403" s="36"/>
      <c r="J403" s="37"/>
    </row>
    <row r="404" spans="4:10">
      <c r="D404" s="34">
        <v>45428</v>
      </c>
      <c r="E404">
        <v>10.750526000000001</v>
      </c>
      <c r="G404" s="35">
        <v>1139.3</v>
      </c>
      <c r="H404" s="36"/>
      <c r="I404" s="36"/>
      <c r="J404" s="37"/>
    </row>
    <row r="405" spans="4:10">
      <c r="D405" s="34">
        <v>45427</v>
      </c>
      <c r="E405">
        <v>5.4363380000000001</v>
      </c>
      <c r="G405" s="35">
        <v>1128.05</v>
      </c>
      <c r="H405" s="36"/>
      <c r="I405" s="36"/>
      <c r="J405" s="37"/>
    </row>
    <row r="406" spans="4:10">
      <c r="D406" s="34">
        <v>45426</v>
      </c>
      <c r="E406">
        <v>5.4711429999999996</v>
      </c>
      <c r="G406" s="35">
        <v>1122.8499999999999</v>
      </c>
      <c r="H406" s="36"/>
      <c r="I406" s="36"/>
      <c r="J406" s="37"/>
    </row>
    <row r="407" spans="4:10">
      <c r="D407" s="34">
        <v>45425</v>
      </c>
      <c r="E407">
        <v>5.5131600000000001</v>
      </c>
      <c r="G407" s="35">
        <v>1132</v>
      </c>
      <c r="H407" s="36"/>
      <c r="I407" s="36"/>
      <c r="J407" s="37"/>
    </row>
    <row r="408" spans="4:10">
      <c r="D408" s="34">
        <v>45422</v>
      </c>
      <c r="E408">
        <v>7.242718</v>
      </c>
      <c r="G408" s="35">
        <v>1120.0999999999999</v>
      </c>
      <c r="H408" s="36"/>
      <c r="I408" s="36"/>
      <c r="J408" s="37"/>
    </row>
    <row r="409" spans="4:10">
      <c r="D409" s="34">
        <v>45421</v>
      </c>
      <c r="E409">
        <v>5.226693</v>
      </c>
      <c r="G409" s="35">
        <v>1115.6500000000001</v>
      </c>
      <c r="H409" s="36"/>
      <c r="I409" s="36"/>
      <c r="J409" s="37"/>
    </row>
    <row r="410" spans="4:10">
      <c r="D410" s="34">
        <v>45420</v>
      </c>
      <c r="E410">
        <v>8.1756089999999997</v>
      </c>
      <c r="G410" s="35">
        <v>1128.6500000000001</v>
      </c>
      <c r="H410" s="36"/>
      <c r="I410" s="36"/>
      <c r="J410" s="37"/>
    </row>
    <row r="411" spans="4:10">
      <c r="D411" s="34">
        <v>45419</v>
      </c>
      <c r="E411">
        <v>7.1155090000000003</v>
      </c>
      <c r="G411" s="35">
        <v>1127.7</v>
      </c>
      <c r="H411" s="36"/>
      <c r="I411" s="36"/>
      <c r="J411" s="37"/>
    </row>
    <row r="412" spans="4:10">
      <c r="D412" s="34">
        <v>45418</v>
      </c>
      <c r="E412">
        <v>7.4901039999999997</v>
      </c>
      <c r="G412" s="35">
        <v>1143.6500000000001</v>
      </c>
      <c r="H412" s="36"/>
      <c r="I412" s="36"/>
      <c r="J412" s="37"/>
    </row>
    <row r="413" spans="4:10">
      <c r="D413" s="34">
        <v>45415</v>
      </c>
      <c r="E413">
        <v>9.9936319999999998</v>
      </c>
      <c r="G413" s="35">
        <v>1141.5</v>
      </c>
      <c r="H413" s="36"/>
      <c r="I413" s="36"/>
      <c r="J413" s="37"/>
    </row>
    <row r="414" spans="4:10">
      <c r="D414" s="34">
        <v>45414</v>
      </c>
      <c r="E414">
        <v>12.302236000000001</v>
      </c>
      <c r="G414" s="35">
        <v>1149.8499999999999</v>
      </c>
      <c r="H414" s="36"/>
      <c r="I414" s="36"/>
      <c r="J414" s="37"/>
    </row>
    <row r="415" spans="4:10">
      <c r="D415" s="34">
        <v>45412</v>
      </c>
      <c r="E415">
        <v>18.965164000000001</v>
      </c>
      <c r="G415" s="35">
        <v>1165.9000000000001</v>
      </c>
      <c r="H415" s="36"/>
      <c r="I415" s="36"/>
      <c r="J415" s="37"/>
    </row>
    <row r="416" spans="4:10">
      <c r="D416" s="34">
        <v>45411</v>
      </c>
      <c r="E416">
        <v>15.183242</v>
      </c>
      <c r="G416" s="35">
        <v>1159.25</v>
      </c>
      <c r="H416" s="36"/>
      <c r="I416" s="36"/>
      <c r="J416" s="37"/>
    </row>
    <row r="417" spans="4:10">
      <c r="D417" s="34">
        <v>45408</v>
      </c>
      <c r="E417">
        <v>10.133766</v>
      </c>
      <c r="G417" s="35">
        <v>1130.3</v>
      </c>
      <c r="H417" s="36"/>
      <c r="I417" s="36"/>
      <c r="J417" s="37"/>
    </row>
    <row r="418" spans="4:10">
      <c r="D418" s="34">
        <v>45407</v>
      </c>
      <c r="E418">
        <v>46.136294999999997</v>
      </c>
      <c r="G418" s="35">
        <v>1127</v>
      </c>
      <c r="H418" s="36"/>
      <c r="I418" s="36"/>
      <c r="J418" s="37"/>
    </row>
    <row r="419" spans="4:10">
      <c r="D419" s="34">
        <v>45406</v>
      </c>
      <c r="E419">
        <v>5.6411629999999997</v>
      </c>
      <c r="G419" s="35">
        <v>1063.25</v>
      </c>
      <c r="H419" s="36"/>
      <c r="I419" s="36"/>
      <c r="J419" s="37"/>
    </row>
    <row r="420" spans="4:10">
      <c r="D420" s="34">
        <v>45405</v>
      </c>
      <c r="E420">
        <v>8.3000120000000006</v>
      </c>
      <c r="G420" s="35">
        <v>1055.75</v>
      </c>
      <c r="H420" s="36"/>
      <c r="I420" s="36"/>
      <c r="J420" s="37"/>
    </row>
    <row r="421" spans="4:10">
      <c r="D421" s="34">
        <v>45404</v>
      </c>
      <c r="E421">
        <v>9.4108319999999992</v>
      </c>
      <c r="G421" s="35">
        <v>1053.95</v>
      </c>
      <c r="H421" s="36"/>
      <c r="I421" s="36"/>
      <c r="J421" s="37"/>
    </row>
    <row r="422" spans="4:10">
      <c r="D422" s="34">
        <v>45401</v>
      </c>
      <c r="E422">
        <v>21.598006999999999</v>
      </c>
      <c r="G422" s="35">
        <v>1029.0999999999999</v>
      </c>
      <c r="H422" s="36"/>
      <c r="I422" s="36"/>
      <c r="J422" s="37"/>
    </row>
    <row r="423" spans="4:10">
      <c r="D423" s="34">
        <v>45400</v>
      </c>
      <c r="E423">
        <v>17.832438</v>
      </c>
      <c r="G423" s="35">
        <v>1024</v>
      </c>
      <c r="H423" s="36"/>
      <c r="I423" s="36"/>
      <c r="J423" s="37"/>
    </row>
    <row r="424" spans="4:10">
      <c r="D424" s="34">
        <v>45398</v>
      </c>
      <c r="E424">
        <v>7.1078809999999999</v>
      </c>
      <c r="G424" s="35">
        <v>1051.9000000000001</v>
      </c>
      <c r="H424" s="36"/>
      <c r="I424" s="36"/>
      <c r="J424" s="37"/>
    </row>
    <row r="425" spans="4:10">
      <c r="D425" s="34">
        <v>45397</v>
      </c>
      <c r="E425">
        <v>8.8894350000000006</v>
      </c>
      <c r="G425" s="35">
        <v>1057.95</v>
      </c>
      <c r="H425" s="36"/>
      <c r="I425" s="36"/>
      <c r="J425" s="37"/>
    </row>
    <row r="426" spans="4:10">
      <c r="D426" s="34">
        <v>45394</v>
      </c>
      <c r="E426">
        <v>18.045983</v>
      </c>
      <c r="G426" s="35">
        <v>1073.45</v>
      </c>
      <c r="H426" s="36"/>
      <c r="I426" s="36"/>
      <c r="J426" s="37"/>
    </row>
    <row r="427" spans="4:10">
      <c r="D427" s="34">
        <v>45392</v>
      </c>
      <c r="E427">
        <v>9.0640739999999997</v>
      </c>
      <c r="G427" s="35">
        <v>1087.8</v>
      </c>
      <c r="H427" s="36"/>
      <c r="I427" s="36"/>
      <c r="J427" s="37"/>
    </row>
    <row r="428" spans="4:10">
      <c r="D428" s="34">
        <v>45391</v>
      </c>
      <c r="E428">
        <v>11.385225999999999</v>
      </c>
      <c r="G428" s="35">
        <v>1080</v>
      </c>
      <c r="H428" s="36"/>
      <c r="I428" s="36"/>
      <c r="J428" s="37"/>
    </row>
    <row r="429" spans="4:10">
      <c r="D429" s="34">
        <v>45390</v>
      </c>
      <c r="E429">
        <v>4.9671859999999999</v>
      </c>
      <c r="G429" s="35">
        <v>1076.05</v>
      </c>
      <c r="H429" s="36"/>
      <c r="I429" s="36"/>
      <c r="J429" s="37"/>
    </row>
    <row r="430" spans="4:10">
      <c r="D430" s="34">
        <v>45387</v>
      </c>
      <c r="E430">
        <v>9.2101869999999995</v>
      </c>
      <c r="G430" s="35">
        <v>1059.0999999999999</v>
      </c>
      <c r="H430" s="36"/>
      <c r="I430" s="36"/>
      <c r="J430" s="37"/>
    </row>
    <row r="431" spans="4:10">
      <c r="D431" s="34">
        <v>45386</v>
      </c>
      <c r="E431">
        <v>17.964843999999999</v>
      </c>
      <c r="G431" s="35">
        <v>1062.95</v>
      </c>
      <c r="H431" s="36"/>
      <c r="I431" s="36"/>
      <c r="J431" s="37"/>
    </row>
    <row r="432" spans="4:10">
      <c r="D432" s="34">
        <v>45385</v>
      </c>
      <c r="E432">
        <v>11.573589999999999</v>
      </c>
      <c r="G432" s="35">
        <v>1063.25</v>
      </c>
      <c r="H432" s="36"/>
      <c r="I432" s="36"/>
      <c r="J432" s="37"/>
    </row>
    <row r="433" spans="4:10">
      <c r="D433" s="34">
        <v>45384</v>
      </c>
      <c r="E433">
        <v>13.617893</v>
      </c>
      <c r="G433" s="35">
        <v>1047.2</v>
      </c>
      <c r="H433" s="36"/>
      <c r="I433" s="36"/>
      <c r="J433" s="37"/>
    </row>
    <row r="434" spans="4:10">
      <c r="D434" s="34">
        <v>45383</v>
      </c>
      <c r="E434">
        <v>5.4845560000000004</v>
      </c>
      <c r="G434" s="35">
        <v>1053.0999999999999</v>
      </c>
      <c r="H434" s="36"/>
      <c r="I434" s="36"/>
      <c r="J434" s="37"/>
    </row>
    <row r="435" spans="4:10">
      <c r="D435" s="34">
        <v>45379</v>
      </c>
      <c r="E435">
        <v>10.235317999999999</v>
      </c>
      <c r="G435" s="35">
        <v>1047.2</v>
      </c>
      <c r="H435" s="36"/>
      <c r="I435" s="36"/>
      <c r="J435" s="37"/>
    </row>
    <row r="436" spans="4:10">
      <c r="D436" s="34">
        <v>45378</v>
      </c>
      <c r="E436">
        <v>17.027308000000001</v>
      </c>
      <c r="G436" s="35">
        <v>1052.8499999999999</v>
      </c>
      <c r="H436" s="36"/>
      <c r="I436" s="36"/>
      <c r="J436" s="37"/>
    </row>
    <row r="437" spans="4:10">
      <c r="D437" s="34">
        <v>45377</v>
      </c>
      <c r="E437">
        <v>9.6567670000000003</v>
      </c>
      <c r="G437" s="35">
        <v>1040.55</v>
      </c>
      <c r="H437" s="36"/>
      <c r="I437" s="36"/>
      <c r="J437" s="37"/>
    </row>
    <row r="438" spans="4:10">
      <c r="D438" s="34">
        <v>45373</v>
      </c>
      <c r="E438">
        <v>9.8911940000000005</v>
      </c>
      <c r="G438" s="35">
        <v>1033.3</v>
      </c>
      <c r="H438" s="36"/>
      <c r="I438" s="36"/>
      <c r="J438" s="37"/>
    </row>
    <row r="439" spans="4:10">
      <c r="D439" s="34">
        <v>45372</v>
      </c>
      <c r="E439">
        <v>9.9037380000000006</v>
      </c>
      <c r="G439" s="35">
        <v>1035.5999999999999</v>
      </c>
      <c r="H439" s="36"/>
      <c r="I439" s="36"/>
      <c r="J439" s="37"/>
    </row>
    <row r="440" spans="4:10">
      <c r="D440" s="34">
        <v>45371</v>
      </c>
      <c r="E440">
        <v>12.619643999999999</v>
      </c>
      <c r="G440" s="35">
        <v>1034.75</v>
      </c>
      <c r="H440" s="36"/>
      <c r="I440" s="36"/>
      <c r="J440" s="37"/>
    </row>
    <row r="441" spans="4:10">
      <c r="D441" s="34">
        <v>45370</v>
      </c>
      <c r="E441">
        <v>6.7288860000000001</v>
      </c>
      <c r="G441" s="35">
        <v>1050.8</v>
      </c>
      <c r="H441" s="36"/>
      <c r="I441" s="36"/>
      <c r="J441" s="37"/>
    </row>
    <row r="442" spans="4:10">
      <c r="D442" s="34">
        <v>45369</v>
      </c>
      <c r="E442">
        <v>7.6124070000000001</v>
      </c>
      <c r="G442" s="35">
        <v>1061.3499999999999</v>
      </c>
      <c r="H442" s="36"/>
      <c r="I442" s="36"/>
      <c r="J442" s="37"/>
    </row>
    <row r="443" spans="4:10">
      <c r="D443" s="34">
        <v>45366</v>
      </c>
      <c r="E443">
        <v>17.798175000000001</v>
      </c>
      <c r="G443" s="35">
        <v>1046.4000000000001</v>
      </c>
      <c r="H443" s="36"/>
      <c r="I443" s="36"/>
      <c r="J443" s="37"/>
    </row>
    <row r="444" spans="4:10">
      <c r="D444" s="34">
        <v>45365</v>
      </c>
      <c r="E444">
        <v>10.253613</v>
      </c>
      <c r="G444" s="35">
        <v>1058.25</v>
      </c>
      <c r="H444" s="36"/>
      <c r="I444" s="36"/>
      <c r="J444" s="37"/>
    </row>
    <row r="445" spans="4:10">
      <c r="D445" s="34">
        <v>45364</v>
      </c>
      <c r="E445">
        <v>11.50389</v>
      </c>
      <c r="G445" s="35">
        <v>1080.4000000000001</v>
      </c>
      <c r="H445" s="36"/>
      <c r="I445" s="36"/>
      <c r="J445" s="37"/>
    </row>
    <row r="446" spans="4:10">
      <c r="D446" s="34">
        <v>45363</v>
      </c>
      <c r="E446">
        <v>9.8171379999999999</v>
      </c>
      <c r="G446" s="35">
        <v>1097</v>
      </c>
      <c r="H446" s="36"/>
      <c r="I446" s="36"/>
      <c r="J446" s="37"/>
    </row>
    <row r="447" spans="4:10">
      <c r="D447" s="34">
        <v>45362</v>
      </c>
      <c r="E447">
        <v>6.7516410000000002</v>
      </c>
      <c r="G447" s="35">
        <v>1105.0999999999999</v>
      </c>
      <c r="H447" s="36"/>
      <c r="I447" s="36"/>
      <c r="J447" s="37"/>
    </row>
    <row r="448" spans="4:10">
      <c r="D448" s="34">
        <v>45358</v>
      </c>
      <c r="E448">
        <v>6.9438789999999999</v>
      </c>
      <c r="G448" s="35">
        <v>1111.45</v>
      </c>
      <c r="H448" s="36"/>
      <c r="I448" s="36"/>
      <c r="J448" s="37"/>
    </row>
    <row r="449" spans="4:10">
      <c r="D449" s="34">
        <v>45357</v>
      </c>
      <c r="E449">
        <v>13.787637999999999</v>
      </c>
      <c r="G449" s="35">
        <v>1125</v>
      </c>
      <c r="H449" s="36"/>
      <c r="I449" s="36"/>
      <c r="J449" s="37"/>
    </row>
    <row r="450" spans="4:10">
      <c r="D450" s="34">
        <v>45356</v>
      </c>
      <c r="E450">
        <v>4.8514460000000001</v>
      </c>
      <c r="G450" s="35">
        <v>1100.8</v>
      </c>
      <c r="H450" s="36"/>
      <c r="I450" s="36"/>
      <c r="J450" s="37"/>
    </row>
    <row r="451" spans="4:10">
      <c r="D451" s="34">
        <v>45355</v>
      </c>
      <c r="E451">
        <v>5.8954409999999999</v>
      </c>
      <c r="G451" s="35">
        <v>1106.75</v>
      </c>
      <c r="H451" s="36"/>
      <c r="I451" s="36"/>
      <c r="J451" s="37"/>
    </row>
    <row r="452" spans="4:10">
      <c r="D452" s="34">
        <v>45353</v>
      </c>
      <c r="E452">
        <v>0.25046499999999999</v>
      </c>
      <c r="G452" s="35">
        <v>1096.7</v>
      </c>
      <c r="H452" s="36"/>
      <c r="I452" s="36"/>
      <c r="J452" s="37"/>
    </row>
    <row r="453" spans="4:10">
      <c r="D453" s="34">
        <v>45352</v>
      </c>
      <c r="E453">
        <v>4.8193900000000003</v>
      </c>
      <c r="G453" s="35">
        <v>1099.25</v>
      </c>
      <c r="H453" s="36"/>
      <c r="I453" s="36"/>
      <c r="J453" s="37"/>
    </row>
    <row r="454" spans="4:10">
      <c r="D454" s="34">
        <v>45351</v>
      </c>
      <c r="E454">
        <v>13.648997</v>
      </c>
      <c r="G454" s="35">
        <v>1075.0999999999999</v>
      </c>
      <c r="H454" s="36"/>
      <c r="I454" s="36"/>
      <c r="J454" s="37"/>
    </row>
    <row r="455" spans="4:10">
      <c r="D455" s="34">
        <v>45350</v>
      </c>
      <c r="E455">
        <v>7.6431909999999998</v>
      </c>
      <c r="G455" s="35">
        <v>1074.2</v>
      </c>
      <c r="H455" s="36"/>
      <c r="I455" s="36"/>
      <c r="J455" s="37"/>
    </row>
    <row r="456" spans="4:10">
      <c r="D456" s="34">
        <v>45349</v>
      </c>
      <c r="E456">
        <v>6.5468149999999996</v>
      </c>
      <c r="G456" s="35">
        <v>1079.05</v>
      </c>
      <c r="H456" s="36"/>
      <c r="I456" s="36"/>
      <c r="J456" s="37"/>
    </row>
    <row r="457" spans="4:10">
      <c r="D457" s="34">
        <v>45348</v>
      </c>
      <c r="E457">
        <v>5.3541889999999999</v>
      </c>
      <c r="G457" s="35">
        <v>1085.2</v>
      </c>
      <c r="H457" s="36"/>
      <c r="I457" s="36"/>
      <c r="J457" s="37"/>
    </row>
    <row r="458" spans="4:10">
      <c r="D458" s="34">
        <v>45345</v>
      </c>
      <c r="E458">
        <v>6.2509430000000004</v>
      </c>
      <c r="G458" s="35">
        <v>1096.8</v>
      </c>
      <c r="H458" s="36"/>
      <c r="I458" s="36"/>
      <c r="J458" s="37"/>
    </row>
    <row r="459" spans="4:10">
      <c r="D459" s="34">
        <v>45344</v>
      </c>
      <c r="E459">
        <v>14.63334</v>
      </c>
      <c r="G459" s="35">
        <v>1100.9000000000001</v>
      </c>
      <c r="H459" s="36"/>
      <c r="I459" s="36"/>
      <c r="J459" s="37"/>
    </row>
    <row r="460" spans="4:10">
      <c r="D460" s="34">
        <v>45343</v>
      </c>
      <c r="E460">
        <v>9.1772130000000001</v>
      </c>
      <c r="G460" s="35">
        <v>1084.2</v>
      </c>
      <c r="H460" s="36"/>
      <c r="I460" s="36"/>
      <c r="J460" s="37"/>
    </row>
    <row r="461" spans="4:10">
      <c r="D461" s="34">
        <v>45342</v>
      </c>
      <c r="E461">
        <v>8.7227999999999994</v>
      </c>
      <c r="G461" s="35">
        <v>1088.5999999999999</v>
      </c>
      <c r="H461" s="36"/>
      <c r="I461" s="36"/>
      <c r="J461" s="37"/>
    </row>
    <row r="462" spans="4:10">
      <c r="D462" s="34">
        <v>45341</v>
      </c>
      <c r="E462">
        <v>7.5626449999999998</v>
      </c>
      <c r="G462" s="35">
        <v>1062.95</v>
      </c>
      <c r="H462" s="36"/>
      <c r="I462" s="36"/>
      <c r="J462" s="37"/>
    </row>
    <row r="463" spans="4:10">
      <c r="D463" s="34">
        <v>45338</v>
      </c>
      <c r="E463">
        <v>8.6609069999999999</v>
      </c>
      <c r="G463" s="35">
        <v>1068.75</v>
      </c>
      <c r="H463" s="36"/>
      <c r="I463" s="36"/>
      <c r="J463" s="37"/>
    </row>
    <row r="464" spans="4:10">
      <c r="D464" s="34">
        <v>45337</v>
      </c>
      <c r="E464">
        <v>11.780823</v>
      </c>
      <c r="G464" s="35">
        <v>1072.2</v>
      </c>
      <c r="H464" s="36"/>
      <c r="I464" s="36"/>
      <c r="J464" s="37"/>
    </row>
    <row r="465" spans="4:10">
      <c r="D465" s="34">
        <v>45336</v>
      </c>
      <c r="E465">
        <v>16.609114999999999</v>
      </c>
      <c r="G465" s="35">
        <v>1096.8499999999999</v>
      </c>
      <c r="H465" s="36"/>
      <c r="I465" s="36"/>
      <c r="J465" s="37"/>
    </row>
    <row r="466" spans="4:10">
      <c r="D466" s="34">
        <v>45335</v>
      </c>
      <c r="E466">
        <v>8.4136089999999992</v>
      </c>
      <c r="G466" s="35">
        <v>1070.75</v>
      </c>
      <c r="H466" s="36"/>
      <c r="I466" s="36"/>
      <c r="J466" s="37"/>
    </row>
    <row r="467" spans="4:10">
      <c r="D467" s="34">
        <v>45334</v>
      </c>
      <c r="E467">
        <v>8.6943789999999996</v>
      </c>
      <c r="G467" s="35">
        <v>1046.7</v>
      </c>
      <c r="H467" s="36"/>
      <c r="I467" s="36"/>
      <c r="J467" s="37"/>
    </row>
    <row r="468" spans="4:10">
      <c r="D468" s="34">
        <v>45331</v>
      </c>
      <c r="E468">
        <v>8.2334540000000001</v>
      </c>
      <c r="G468" s="35">
        <v>1051.4000000000001</v>
      </c>
      <c r="H468" s="36"/>
      <c r="I468" s="36"/>
      <c r="J468" s="37"/>
    </row>
    <row r="469" spans="4:10">
      <c r="D469" s="34">
        <v>45330</v>
      </c>
      <c r="E469">
        <v>9.8691410000000008</v>
      </c>
      <c r="G469" s="35">
        <v>1035.9000000000001</v>
      </c>
      <c r="H469" s="36"/>
      <c r="I469" s="36"/>
      <c r="J469" s="37"/>
    </row>
    <row r="470" spans="4:10">
      <c r="D470" s="34">
        <v>45329</v>
      </c>
      <c r="E470">
        <v>7.2817930000000004</v>
      </c>
      <c r="G470" s="35">
        <v>1069.0999999999999</v>
      </c>
      <c r="H470" s="36"/>
      <c r="I470" s="36"/>
      <c r="J470" s="37"/>
    </row>
    <row r="471" spans="4:10">
      <c r="D471" s="34">
        <v>45328</v>
      </c>
      <c r="E471">
        <v>8.0111709999999992</v>
      </c>
      <c r="G471" s="35">
        <v>1050.05</v>
      </c>
      <c r="H471" s="36"/>
      <c r="I471" s="36"/>
      <c r="J471" s="37"/>
    </row>
    <row r="472" spans="4:10">
      <c r="D472" s="34">
        <v>45327</v>
      </c>
      <c r="E472">
        <v>12.569454</v>
      </c>
      <c r="G472" s="35">
        <v>1061.5</v>
      </c>
      <c r="H472" s="36"/>
      <c r="I472" s="36"/>
      <c r="J472" s="37"/>
    </row>
    <row r="473" spans="4:10">
      <c r="D473" s="34">
        <v>45324</v>
      </c>
      <c r="E473">
        <v>8.6674150000000001</v>
      </c>
      <c r="G473" s="35">
        <v>1067.05</v>
      </c>
      <c r="H473" s="36"/>
      <c r="I473" s="36"/>
      <c r="J473" s="37"/>
    </row>
    <row r="474" spans="4:10">
      <c r="D474" s="34">
        <v>45323</v>
      </c>
      <c r="E474">
        <v>9.7566819999999996</v>
      </c>
      <c r="G474" s="35">
        <v>1084.25</v>
      </c>
      <c r="H474" s="36"/>
      <c r="I474" s="36"/>
      <c r="J474" s="37"/>
    </row>
    <row r="475" spans="4:10">
      <c r="D475" s="34">
        <v>45322</v>
      </c>
      <c r="E475">
        <v>12.600390000000001</v>
      </c>
      <c r="G475" s="35">
        <v>1067.75</v>
      </c>
      <c r="H475" s="36"/>
      <c r="I475" s="36"/>
      <c r="J475" s="37"/>
    </row>
    <row r="476" spans="4:10">
      <c r="D476" s="34">
        <v>45321</v>
      </c>
      <c r="E476">
        <v>9.4269829999999999</v>
      </c>
      <c r="G476" s="35">
        <v>1054.0999999999999</v>
      </c>
      <c r="H476" s="36"/>
      <c r="I476" s="36"/>
      <c r="J476" s="37"/>
    </row>
    <row r="477" spans="4:10">
      <c r="D477" s="34">
        <v>45320</v>
      </c>
      <c r="E477">
        <v>11.188604</v>
      </c>
      <c r="G477" s="35">
        <v>1061.25</v>
      </c>
      <c r="H477" s="36"/>
      <c r="I477" s="36"/>
      <c r="J477" s="37"/>
    </row>
    <row r="478" spans="4:10">
      <c r="D478" s="34">
        <v>45316</v>
      </c>
      <c r="E478">
        <v>20.835433999999999</v>
      </c>
      <c r="G478" s="35">
        <v>1042.25</v>
      </c>
      <c r="H478" s="36"/>
      <c r="I478" s="36"/>
      <c r="J478" s="37"/>
    </row>
    <row r="479" spans="4:10">
      <c r="D479" s="34">
        <v>45315</v>
      </c>
      <c r="E479">
        <v>20.884046000000001</v>
      </c>
      <c r="G479" s="35">
        <v>1059.1500000000001</v>
      </c>
      <c r="H479" s="36"/>
      <c r="I479" s="36"/>
      <c r="J479" s="37"/>
    </row>
    <row r="480" spans="4:10">
      <c r="D480" s="34">
        <v>45314</v>
      </c>
      <c r="E480">
        <v>18.924087</v>
      </c>
      <c r="G480" s="35">
        <v>1089.25</v>
      </c>
      <c r="H480" s="36"/>
      <c r="I480" s="36"/>
      <c r="J480" s="37"/>
    </row>
    <row r="481" spans="4:10">
      <c r="D481" s="34">
        <v>45311</v>
      </c>
      <c r="E481">
        <v>5.0555940000000001</v>
      </c>
      <c r="G481" s="35">
        <v>1121</v>
      </c>
      <c r="H481" s="36"/>
      <c r="I481" s="36"/>
      <c r="J481" s="37"/>
    </row>
    <row r="482" spans="4:10">
      <c r="D482" s="34">
        <v>45310</v>
      </c>
      <c r="E482">
        <v>12.303696</v>
      </c>
      <c r="G482" s="35">
        <v>1116.55</v>
      </c>
      <c r="H482" s="36"/>
      <c r="I482" s="36"/>
      <c r="J482" s="37"/>
    </row>
    <row r="483" spans="4:10">
      <c r="D483" s="34">
        <v>45309</v>
      </c>
      <c r="E483">
        <v>11.473134999999999</v>
      </c>
      <c r="G483" s="35">
        <v>1097.5</v>
      </c>
      <c r="H483" s="36"/>
      <c r="I483" s="36"/>
      <c r="J483" s="37"/>
    </row>
    <row r="484" spans="4:10">
      <c r="D484" s="34">
        <v>45308</v>
      </c>
      <c r="E484">
        <v>24.913719</v>
      </c>
      <c r="G484" s="35">
        <v>1082.3</v>
      </c>
      <c r="H484" s="36"/>
      <c r="I484" s="36"/>
      <c r="J484" s="37"/>
    </row>
    <row r="485" spans="4:10">
      <c r="D485" s="34">
        <v>45307</v>
      </c>
      <c r="E485">
        <v>5.2297529999999997</v>
      </c>
      <c r="G485" s="35">
        <v>1119.0999999999999</v>
      </c>
      <c r="H485" s="36"/>
      <c r="I485" s="36"/>
      <c r="J485" s="37"/>
    </row>
    <row r="486" spans="4:10">
      <c r="D486" s="34">
        <v>45306</v>
      </c>
      <c r="E486">
        <v>6.7190789999999998</v>
      </c>
      <c r="G486" s="35">
        <v>1119.5</v>
      </c>
      <c r="H486" s="36"/>
      <c r="I486" s="36"/>
      <c r="J486" s="37"/>
    </row>
    <row r="487" spans="4:10">
      <c r="D487" s="34">
        <v>45303</v>
      </c>
      <c r="E487">
        <v>5.6167550000000004</v>
      </c>
      <c r="G487" s="35">
        <v>1120.3499999999999</v>
      </c>
      <c r="H487" s="36"/>
      <c r="I487" s="36"/>
      <c r="J487" s="37"/>
    </row>
    <row r="488" spans="4:10">
      <c r="D488" s="34">
        <v>45302</v>
      </c>
      <c r="E488">
        <v>4.6830350000000003</v>
      </c>
      <c r="G488" s="35">
        <v>1125.75</v>
      </c>
      <c r="H488" s="36"/>
      <c r="I488" s="36"/>
      <c r="J488" s="37"/>
    </row>
    <row r="489" spans="4:10">
      <c r="D489" s="34">
        <v>45301</v>
      </c>
      <c r="E489">
        <v>5.9341629999999999</v>
      </c>
      <c r="G489" s="35">
        <v>1107</v>
      </c>
      <c r="H489" s="36"/>
      <c r="I489" s="36"/>
      <c r="J489" s="37"/>
    </row>
    <row r="490" spans="4:10">
      <c r="D490" s="34">
        <v>45300</v>
      </c>
      <c r="E490">
        <v>6.359362</v>
      </c>
      <c r="G490" s="35">
        <v>1116.55</v>
      </c>
      <c r="H490" s="36"/>
      <c r="I490" s="36"/>
      <c r="J490" s="37"/>
    </row>
    <row r="491" spans="4:10">
      <c r="D491" s="34">
        <v>45299</v>
      </c>
      <c r="E491">
        <v>4.735538</v>
      </c>
      <c r="G491" s="35">
        <v>1122</v>
      </c>
      <c r="H491" s="36"/>
      <c r="I491" s="36"/>
      <c r="J491" s="37"/>
    </row>
    <row r="492" spans="4:10">
      <c r="D492" s="34">
        <v>45296</v>
      </c>
      <c r="E492">
        <v>8.0254659999999998</v>
      </c>
      <c r="G492" s="35">
        <v>1136.95</v>
      </c>
      <c r="H492" s="36"/>
      <c r="I492" s="36"/>
      <c r="J492" s="37"/>
    </row>
    <row r="493" spans="4:10">
      <c r="D493" s="34">
        <v>45295</v>
      </c>
      <c r="E493">
        <v>11.411683</v>
      </c>
      <c r="G493" s="35">
        <v>1123.4000000000001</v>
      </c>
      <c r="H493" s="36"/>
      <c r="I493" s="36"/>
      <c r="J493" s="37"/>
    </row>
    <row r="494" spans="4:10">
      <c r="D494" s="34">
        <v>45294</v>
      </c>
      <c r="E494">
        <v>10.225289999999999</v>
      </c>
      <c r="G494" s="35">
        <v>1098.5999999999999</v>
      </c>
      <c r="H494" s="36"/>
      <c r="I494" s="36"/>
      <c r="J494" s="37"/>
    </row>
    <row r="495" spans="4:10">
      <c r="D495" s="34">
        <v>45293</v>
      </c>
      <c r="E495">
        <v>7.8955770000000003</v>
      </c>
      <c r="G495" s="35">
        <v>1093.25</v>
      </c>
      <c r="H495" s="36"/>
      <c r="I495" s="36"/>
      <c r="J495" s="37"/>
    </row>
    <row r="496" spans="4:10">
      <c r="D496" s="34">
        <v>45292</v>
      </c>
      <c r="E496">
        <v>4.0837320000000004</v>
      </c>
      <c r="G496" s="35">
        <v>1097.7</v>
      </c>
      <c r="H496" s="36"/>
      <c r="I496" s="36"/>
      <c r="J496" s="37"/>
    </row>
    <row r="497" spans="4:10">
      <c r="D497" s="34">
        <v>45289</v>
      </c>
      <c r="E497">
        <v>8.7867309999999996</v>
      </c>
      <c r="G497" s="35">
        <v>1102.3</v>
      </c>
      <c r="H497" s="36"/>
      <c r="I497" s="36"/>
      <c r="J497" s="37"/>
    </row>
    <row r="498" spans="4:10">
      <c r="D498" s="34">
        <v>45288</v>
      </c>
      <c r="E498">
        <v>14.097667</v>
      </c>
      <c r="G498" s="35">
        <v>1107.8499999999999</v>
      </c>
      <c r="H498" s="36"/>
      <c r="I498" s="36"/>
      <c r="J498" s="37"/>
    </row>
    <row r="499" spans="4:10">
      <c r="D499" s="34">
        <v>45287</v>
      </c>
      <c r="E499">
        <v>6.1329359999999999</v>
      </c>
      <c r="G499" s="35">
        <v>1106.3499999999999</v>
      </c>
      <c r="H499" s="36"/>
      <c r="I499" s="36"/>
      <c r="J499" s="37"/>
    </row>
    <row r="500" spans="4:10">
      <c r="D500" s="34">
        <v>45286</v>
      </c>
      <c r="E500">
        <v>5.6875169999999997</v>
      </c>
      <c r="G500" s="35">
        <v>1094.25</v>
      </c>
      <c r="H500" s="36"/>
      <c r="I500" s="36"/>
      <c r="J500" s="37"/>
    </row>
    <row r="501" spans="4:10">
      <c r="D501" s="34">
        <v>45282</v>
      </c>
      <c r="E501">
        <v>10.600025</v>
      </c>
      <c r="G501" s="35">
        <v>1088.3</v>
      </c>
      <c r="H501" s="36"/>
      <c r="I501" s="36"/>
      <c r="J501" s="37"/>
    </row>
    <row r="502" spans="4:10">
      <c r="D502" s="34">
        <v>45281</v>
      </c>
      <c r="E502">
        <v>10.914682000000001</v>
      </c>
      <c r="G502" s="35">
        <v>1095.4000000000001</v>
      </c>
      <c r="H502" s="36"/>
      <c r="I502" s="36"/>
      <c r="J502" s="37"/>
    </row>
    <row r="503" spans="4:10">
      <c r="D503" s="34">
        <v>45280</v>
      </c>
      <c r="E503">
        <v>9.8480570000000007</v>
      </c>
      <c r="G503" s="35">
        <v>1110.25</v>
      </c>
      <c r="H503" s="36"/>
      <c r="I503" s="36"/>
      <c r="J503" s="37"/>
    </row>
    <row r="504" spans="4:10">
      <c r="D504" s="34">
        <v>45279</v>
      </c>
      <c r="E504">
        <v>6.8246409999999997</v>
      </c>
      <c r="G504" s="35">
        <v>1120.25</v>
      </c>
      <c r="H504" s="36"/>
      <c r="I504" s="36"/>
      <c r="J504" s="37"/>
    </row>
    <row r="505" spans="4:10">
      <c r="D505" s="34">
        <v>45278</v>
      </c>
      <c r="E505">
        <v>7.9224680000000003</v>
      </c>
      <c r="G505" s="35">
        <v>1111.3499999999999</v>
      </c>
      <c r="H505" s="36"/>
      <c r="I505" s="36"/>
      <c r="J505" s="37"/>
    </row>
    <row r="506" spans="4:10">
      <c r="D506" s="34">
        <v>45275</v>
      </c>
      <c r="E506">
        <v>12.048410000000001</v>
      </c>
      <c r="G506" s="35">
        <v>1120.3499999999999</v>
      </c>
      <c r="H506" s="36"/>
      <c r="I506" s="36"/>
      <c r="J506" s="37"/>
    </row>
    <row r="507" spans="4:10">
      <c r="D507" s="34">
        <v>45274</v>
      </c>
      <c r="E507">
        <v>9.4211930000000006</v>
      </c>
      <c r="G507" s="35">
        <v>1120.45</v>
      </c>
      <c r="H507" s="36"/>
      <c r="I507" s="36"/>
      <c r="J507" s="37"/>
    </row>
    <row r="508" spans="4:10">
      <c r="D508" s="34">
        <v>45273</v>
      </c>
      <c r="E508">
        <v>8.1845230000000004</v>
      </c>
      <c r="G508" s="35">
        <v>1114.8499999999999</v>
      </c>
      <c r="H508" s="36"/>
      <c r="I508" s="36"/>
      <c r="J508" s="37"/>
    </row>
    <row r="509" spans="4:10">
      <c r="D509" s="34">
        <v>45272</v>
      </c>
      <c r="E509">
        <v>9.0441109999999991</v>
      </c>
      <c r="G509" s="35">
        <v>1131</v>
      </c>
      <c r="H509" s="36"/>
      <c r="I509" s="36"/>
      <c r="J509" s="37"/>
    </row>
    <row r="510" spans="4:10">
      <c r="D510" s="34">
        <v>45271</v>
      </c>
      <c r="E510">
        <v>6.9245890000000001</v>
      </c>
      <c r="G510" s="35">
        <v>1116.5</v>
      </c>
      <c r="H510" s="36"/>
      <c r="I510" s="36"/>
      <c r="J510" s="37"/>
    </row>
    <row r="511" spans="4:10">
      <c r="D511" s="34">
        <v>45268</v>
      </c>
      <c r="E511">
        <v>7.3009890000000004</v>
      </c>
      <c r="G511" s="35">
        <v>1131.2</v>
      </c>
      <c r="H511" s="36"/>
      <c r="I511" s="36"/>
      <c r="J511" s="37"/>
    </row>
    <row r="512" spans="4:10">
      <c r="D512" s="34">
        <v>45267</v>
      </c>
      <c r="E512">
        <v>6.439419</v>
      </c>
      <c r="G512" s="35">
        <v>1117.8499999999999</v>
      </c>
      <c r="H512" s="36"/>
      <c r="I512" s="36"/>
      <c r="J512" s="37"/>
    </row>
    <row r="513" spans="4:10">
      <c r="D513" s="34">
        <v>45266</v>
      </c>
      <c r="E513">
        <v>7.3427670000000003</v>
      </c>
      <c r="G513" s="35">
        <v>1120.5</v>
      </c>
      <c r="H513" s="36"/>
      <c r="I513" s="36"/>
      <c r="J513" s="37"/>
    </row>
    <row r="514" spans="4:10">
      <c r="D514" s="34">
        <v>45265</v>
      </c>
      <c r="E514">
        <v>15.804808</v>
      </c>
      <c r="G514" s="35">
        <v>1132.45</v>
      </c>
      <c r="H514" s="36"/>
      <c r="I514" s="36"/>
      <c r="J514" s="37"/>
    </row>
    <row r="515" spans="4:10">
      <c r="D515" s="34">
        <v>45264</v>
      </c>
      <c r="E515">
        <v>14.043213</v>
      </c>
      <c r="G515" s="35">
        <v>1125.5999999999999</v>
      </c>
      <c r="H515" s="36"/>
      <c r="I515" s="36"/>
      <c r="J515" s="37"/>
    </row>
    <row r="516" spans="4:10">
      <c r="D516" s="34">
        <v>45261</v>
      </c>
      <c r="E516">
        <v>14.428758</v>
      </c>
      <c r="G516" s="35">
        <v>1104.6500000000001</v>
      </c>
      <c r="H516" s="36"/>
      <c r="I516" s="36"/>
      <c r="J516" s="37"/>
    </row>
    <row r="517" spans="4:10">
      <c r="D517" s="34">
        <v>45260</v>
      </c>
      <c r="E517">
        <v>24.755589000000001</v>
      </c>
      <c r="G517" s="35">
        <v>1074.25</v>
      </c>
      <c r="H517" s="36"/>
      <c r="I517" s="36"/>
      <c r="J517" s="37"/>
    </row>
    <row r="518" spans="4:10">
      <c r="D518" s="34">
        <v>45259</v>
      </c>
      <c r="E518">
        <v>9.4223960000000009</v>
      </c>
      <c r="G518" s="35">
        <v>1060.1500000000001</v>
      </c>
      <c r="H518" s="36"/>
      <c r="I518" s="36"/>
      <c r="J518" s="37"/>
    </row>
    <row r="519" spans="4:10">
      <c r="D519" s="34">
        <v>45258</v>
      </c>
      <c r="E519">
        <v>6.1733840000000004</v>
      </c>
      <c r="G519" s="35">
        <v>1021.15</v>
      </c>
      <c r="H519" s="36"/>
      <c r="I519" s="36"/>
      <c r="J519" s="37"/>
    </row>
    <row r="520" spans="4:10">
      <c r="D520" s="34">
        <v>45254</v>
      </c>
      <c r="E520">
        <v>6.9562809999999997</v>
      </c>
      <c r="G520" s="35">
        <v>1008.5</v>
      </c>
      <c r="H520" s="36"/>
      <c r="I520" s="36"/>
      <c r="J520" s="37"/>
    </row>
    <row r="521" spans="4:10">
      <c r="D521" s="34">
        <v>45253</v>
      </c>
      <c r="E521">
        <v>3.1128909999999999</v>
      </c>
      <c r="G521" s="35">
        <v>999.05</v>
      </c>
      <c r="H521" s="36"/>
      <c r="I521" s="36"/>
      <c r="J521" s="37"/>
    </row>
    <row r="522" spans="4:10">
      <c r="D522" s="34">
        <v>45252</v>
      </c>
      <c r="E522">
        <v>6.1039880000000002</v>
      </c>
      <c r="G522" s="35">
        <v>998.1</v>
      </c>
      <c r="H522" s="36"/>
      <c r="I522" s="36"/>
      <c r="J522" s="37"/>
    </row>
    <row r="523" spans="4:10">
      <c r="D523" s="34">
        <v>45251</v>
      </c>
      <c r="E523">
        <v>7.0616139999999996</v>
      </c>
      <c r="G523" s="35">
        <v>991.8</v>
      </c>
      <c r="H523" s="36"/>
      <c r="I523" s="36"/>
      <c r="J523" s="37"/>
    </row>
    <row r="524" spans="4:10">
      <c r="D524" s="34">
        <v>45250</v>
      </c>
      <c r="E524">
        <v>8.2156559999999992</v>
      </c>
      <c r="G524" s="35">
        <v>988.7</v>
      </c>
      <c r="H524" s="36"/>
      <c r="I524" s="36"/>
      <c r="J524" s="37"/>
    </row>
    <row r="525" spans="4:10">
      <c r="D525" s="34">
        <v>45247</v>
      </c>
      <c r="E525">
        <v>13.268352999999999</v>
      </c>
      <c r="G525" s="35">
        <v>994.35</v>
      </c>
      <c r="H525" s="36"/>
      <c r="I525" s="36"/>
      <c r="J525" s="37"/>
    </row>
    <row r="526" spans="4:10">
      <c r="D526" s="34">
        <v>45246</v>
      </c>
      <c r="E526">
        <v>6.9088250000000002</v>
      </c>
      <c r="G526" s="35">
        <v>1026.3499999999999</v>
      </c>
      <c r="H526" s="36"/>
      <c r="I526" s="36"/>
      <c r="J526" s="37"/>
    </row>
    <row r="527" spans="4:10">
      <c r="D527" s="34">
        <v>45245</v>
      </c>
      <c r="E527">
        <v>7.2403880000000003</v>
      </c>
      <c r="G527" s="35">
        <v>1041.3499999999999</v>
      </c>
      <c r="H527" s="36"/>
      <c r="I527" s="36"/>
      <c r="J527" s="37"/>
    </row>
    <row r="528" spans="4:10">
      <c r="D528" s="34">
        <v>45243</v>
      </c>
      <c r="E528">
        <v>5.9854810000000001</v>
      </c>
      <c r="G528" s="35">
        <v>1025.3499999999999</v>
      </c>
      <c r="H528" s="36"/>
      <c r="I528" s="36"/>
      <c r="J528" s="37"/>
    </row>
    <row r="529" spans="4:10">
      <c r="D529" s="34">
        <v>45242</v>
      </c>
      <c r="E529">
        <v>0.46183400000000002</v>
      </c>
      <c r="G529" s="35">
        <v>1029.95</v>
      </c>
      <c r="H529" s="36"/>
      <c r="I529" s="36"/>
      <c r="J529" s="37"/>
    </row>
    <row r="530" spans="4:10">
      <c r="D530" s="34">
        <v>45240</v>
      </c>
      <c r="E530">
        <v>3.294063</v>
      </c>
      <c r="G530" s="35">
        <v>1029.2</v>
      </c>
      <c r="H530" s="36"/>
      <c r="I530" s="36"/>
      <c r="J530" s="37"/>
    </row>
    <row r="531" spans="4:10">
      <c r="D531" s="34">
        <v>45239</v>
      </c>
      <c r="E531">
        <v>4.4079350000000002</v>
      </c>
      <c r="G531" s="35">
        <v>1021.9</v>
      </c>
      <c r="H531" s="36"/>
      <c r="I531" s="36"/>
      <c r="J531" s="37"/>
    </row>
    <row r="532" spans="4:10">
      <c r="D532" s="34">
        <v>45238</v>
      </c>
      <c r="E532">
        <v>7.6433140000000002</v>
      </c>
      <c r="G532" s="35">
        <v>1021.7</v>
      </c>
      <c r="H532" s="36"/>
      <c r="I532" s="36"/>
      <c r="J532" s="37"/>
    </row>
    <row r="533" spans="4:10">
      <c r="D533" s="34">
        <v>45237</v>
      </c>
      <c r="E533">
        <v>6.5598590000000003</v>
      </c>
      <c r="G533" s="35">
        <v>1020.9</v>
      </c>
      <c r="H533" s="36"/>
      <c r="I533" s="36"/>
      <c r="J533" s="37"/>
    </row>
    <row r="534" spans="4:10">
      <c r="D534" s="34">
        <v>45236</v>
      </c>
      <c r="E534">
        <v>6.5521779999999996</v>
      </c>
      <c r="G534" s="35">
        <v>1009.4</v>
      </c>
      <c r="H534" s="36"/>
      <c r="I534" s="36"/>
      <c r="J534" s="37"/>
    </row>
    <row r="535" spans="4:10">
      <c r="D535" s="34">
        <v>45233</v>
      </c>
      <c r="E535">
        <v>4.2680480000000003</v>
      </c>
      <c r="G535" s="35">
        <v>988.85</v>
      </c>
      <c r="H535" s="36"/>
      <c r="I535" s="36"/>
      <c r="J535" s="37"/>
    </row>
    <row r="536" spans="4:10">
      <c r="D536" s="34">
        <v>45232</v>
      </c>
      <c r="E536">
        <v>5.1939820000000001</v>
      </c>
      <c r="G536" s="35">
        <v>982.95</v>
      </c>
      <c r="H536" s="36"/>
      <c r="I536" s="36"/>
      <c r="J536" s="37"/>
    </row>
    <row r="537" spans="4:10">
      <c r="D537" s="34">
        <v>45231</v>
      </c>
      <c r="E537">
        <v>5.7039840000000002</v>
      </c>
      <c r="G537" s="35">
        <v>971.8</v>
      </c>
      <c r="H537" s="36"/>
      <c r="I537" s="36"/>
      <c r="J537" s="37"/>
    </row>
    <row r="538" spans="4:10">
      <c r="D538" s="34">
        <v>45230</v>
      </c>
      <c r="E538">
        <v>7.8168049999999996</v>
      </c>
      <c r="G538" s="35">
        <v>981.85</v>
      </c>
      <c r="H538" s="36"/>
      <c r="I538" s="36"/>
      <c r="J538" s="37"/>
    </row>
    <row r="539" spans="4:10">
      <c r="D539" s="34">
        <v>45229</v>
      </c>
      <c r="E539">
        <v>5.2705669999999998</v>
      </c>
      <c r="G539" s="35">
        <v>989.2</v>
      </c>
      <c r="H539" s="36"/>
      <c r="I539" s="36"/>
      <c r="J539" s="37"/>
    </row>
    <row r="540" spans="4:10">
      <c r="D540" s="34">
        <v>45226</v>
      </c>
      <c r="E540">
        <v>13.443016</v>
      </c>
      <c r="G540" s="35">
        <v>1002.75</v>
      </c>
      <c r="H540" s="36"/>
      <c r="I540" s="36"/>
      <c r="J540" s="37"/>
    </row>
    <row r="541" spans="4:10">
      <c r="D541" s="34">
        <v>45225</v>
      </c>
      <c r="E541">
        <v>17.540495</v>
      </c>
      <c r="G541" s="35">
        <v>972.05</v>
      </c>
      <c r="H541" s="36"/>
      <c r="I541" s="36"/>
      <c r="J541" s="37"/>
    </row>
    <row r="542" spans="4:10">
      <c r="D542" s="34">
        <v>45224</v>
      </c>
      <c r="E542">
        <v>6.9570480000000003</v>
      </c>
      <c r="G542" s="35">
        <v>955.45</v>
      </c>
      <c r="H542" s="36"/>
      <c r="I542" s="36"/>
      <c r="J542" s="37"/>
    </row>
    <row r="543" spans="4:10">
      <c r="D543" s="34">
        <v>45222</v>
      </c>
      <c r="E543">
        <v>5.8966950000000002</v>
      </c>
      <c r="G543" s="35">
        <v>964.3</v>
      </c>
      <c r="H543" s="36"/>
      <c r="I543" s="36"/>
      <c r="J543" s="37"/>
    </row>
    <row r="544" spans="4:10">
      <c r="D544" s="34">
        <v>45219</v>
      </c>
      <c r="E544">
        <v>5.6643999999999997</v>
      </c>
      <c r="G544" s="35">
        <v>980.35</v>
      </c>
      <c r="H544" s="36"/>
      <c r="I544" s="36"/>
      <c r="J544" s="37"/>
    </row>
    <row r="545" spans="4:10">
      <c r="D545" s="34">
        <v>45218</v>
      </c>
      <c r="E545">
        <v>4.8366249999999997</v>
      </c>
      <c r="G545" s="35">
        <v>991.4</v>
      </c>
      <c r="H545" s="36"/>
      <c r="I545" s="36"/>
      <c r="J545" s="37"/>
    </row>
    <row r="546" spans="4:10">
      <c r="D546" s="34">
        <v>45217</v>
      </c>
      <c r="E546">
        <v>7.8189460000000004</v>
      </c>
      <c r="G546" s="35">
        <v>992.85</v>
      </c>
      <c r="H546" s="36"/>
      <c r="I546" s="36"/>
      <c r="J546" s="37"/>
    </row>
    <row r="547" spans="4:10">
      <c r="D547" s="34">
        <v>45216</v>
      </c>
      <c r="E547">
        <v>6.105067</v>
      </c>
      <c r="G547" s="35">
        <v>1008.05</v>
      </c>
      <c r="H547" s="36"/>
      <c r="I547" s="36"/>
      <c r="J547" s="37"/>
    </row>
    <row r="548" spans="4:10">
      <c r="D548" s="34">
        <v>45215</v>
      </c>
      <c r="E548">
        <v>4.64696</v>
      </c>
      <c r="G548" s="35">
        <v>1004.8</v>
      </c>
      <c r="H548" s="36"/>
      <c r="I548" s="36"/>
      <c r="J548" s="37"/>
    </row>
    <row r="549" spans="4:10">
      <c r="D549" s="34">
        <v>45212</v>
      </c>
      <c r="E549">
        <v>12.173162</v>
      </c>
      <c r="G549" s="35">
        <v>994.05</v>
      </c>
      <c r="H549" s="36"/>
      <c r="I549" s="36"/>
      <c r="J549" s="37"/>
    </row>
    <row r="550" spans="4:10">
      <c r="D550" s="34">
        <v>45211</v>
      </c>
      <c r="E550">
        <v>4.9202219999999999</v>
      </c>
      <c r="G550" s="35">
        <v>1018.45</v>
      </c>
      <c r="H550" s="36"/>
      <c r="I550" s="36"/>
      <c r="J550" s="37"/>
    </row>
    <row r="551" spans="4:10">
      <c r="D551" s="34">
        <v>45210</v>
      </c>
      <c r="E551">
        <v>7.3967830000000001</v>
      </c>
      <c r="G551" s="35">
        <v>1019.1</v>
      </c>
      <c r="H551" s="36"/>
      <c r="I551" s="36"/>
      <c r="J551" s="37"/>
    </row>
    <row r="552" spans="4:10">
      <c r="D552" s="34">
        <v>45209</v>
      </c>
      <c r="E552">
        <v>5.7284990000000002</v>
      </c>
      <c r="G552" s="35">
        <v>1012.25</v>
      </c>
      <c r="H552" s="36"/>
      <c r="I552" s="36"/>
      <c r="J552" s="37"/>
    </row>
    <row r="553" spans="4:10">
      <c r="D553" s="34">
        <v>45208</v>
      </c>
      <c r="E553">
        <v>6.8232140000000001</v>
      </c>
      <c r="G553" s="35">
        <v>996.25</v>
      </c>
      <c r="H553" s="36"/>
      <c r="I553" s="36"/>
      <c r="J553" s="37"/>
    </row>
    <row r="554" spans="4:10">
      <c r="D554" s="34">
        <v>45205</v>
      </c>
      <c r="E554">
        <v>5.2897530000000001</v>
      </c>
      <c r="G554" s="35">
        <v>1000.95</v>
      </c>
      <c r="H554" s="36"/>
      <c r="I554" s="36"/>
      <c r="J554" s="37"/>
    </row>
    <row r="555" spans="4:10">
      <c r="D555" s="34">
        <v>45204</v>
      </c>
      <c r="E555">
        <v>7.950412</v>
      </c>
      <c r="G555" s="35">
        <v>1003.25</v>
      </c>
      <c r="H555" s="36"/>
      <c r="I555" s="36"/>
      <c r="J555" s="37"/>
    </row>
    <row r="556" spans="4:10">
      <c r="D556" s="34">
        <v>45203</v>
      </c>
      <c r="E556">
        <v>22.584212000000001</v>
      </c>
      <c r="G556" s="35">
        <v>995.55</v>
      </c>
      <c r="H556" s="36"/>
      <c r="I556" s="36"/>
      <c r="J556" s="37"/>
    </row>
    <row r="557" spans="4:10">
      <c r="D557" s="34">
        <v>45202</v>
      </c>
      <c r="E557">
        <v>11.589321999999999</v>
      </c>
      <c r="G557" s="35">
        <v>1041.05</v>
      </c>
      <c r="H557" s="36"/>
      <c r="I557" s="36"/>
      <c r="J557" s="37"/>
    </row>
    <row r="558" spans="4:10">
      <c r="D558" s="34">
        <v>45198</v>
      </c>
      <c r="E558">
        <v>9.5286259999999992</v>
      </c>
      <c r="G558" s="35">
        <v>1036.7</v>
      </c>
      <c r="H558" s="36"/>
      <c r="I558" s="36"/>
      <c r="J558" s="37"/>
    </row>
    <row r="559" spans="4:10">
      <c r="D559" s="34">
        <v>45197</v>
      </c>
      <c r="E559">
        <v>15.818489</v>
      </c>
      <c r="G559" s="35">
        <v>1030.9000000000001</v>
      </c>
      <c r="H559" s="36"/>
      <c r="I559" s="36"/>
      <c r="J559" s="37"/>
    </row>
    <row r="560" spans="4:10">
      <c r="D560" s="34">
        <v>45196</v>
      </c>
      <c r="E560">
        <v>5.1586860000000003</v>
      </c>
      <c r="G560" s="35">
        <v>1025.2</v>
      </c>
      <c r="H560" s="36"/>
      <c r="I560" s="36"/>
      <c r="J560" s="37"/>
    </row>
    <row r="561" spans="4:10">
      <c r="D561" s="34">
        <v>45195</v>
      </c>
      <c r="E561">
        <v>6.3876150000000003</v>
      </c>
      <c r="G561" s="35">
        <v>1014.15</v>
      </c>
      <c r="H561" s="36"/>
      <c r="I561" s="36"/>
      <c r="J561" s="37"/>
    </row>
    <row r="562" spans="4:10">
      <c r="D562" s="34">
        <v>45194</v>
      </c>
      <c r="E562">
        <v>7.1238900000000003</v>
      </c>
      <c r="G562" s="35">
        <v>1018.95</v>
      </c>
      <c r="H562" s="36"/>
      <c r="I562" s="36"/>
      <c r="J562" s="37"/>
    </row>
    <row r="563" spans="4:10">
      <c r="D563" s="34">
        <v>45191</v>
      </c>
      <c r="E563">
        <v>7.1081099999999999</v>
      </c>
      <c r="G563" s="35">
        <v>1018.25</v>
      </c>
      <c r="H563" s="36"/>
      <c r="I563" s="36"/>
      <c r="J563" s="37"/>
    </row>
    <row r="564" spans="4:10">
      <c r="D564" s="34">
        <v>45190</v>
      </c>
      <c r="E564">
        <v>8.1565879999999993</v>
      </c>
      <c r="G564" s="35">
        <v>1014.45</v>
      </c>
      <c r="H564" s="36"/>
      <c r="I564" s="36"/>
      <c r="J564" s="37"/>
    </row>
    <row r="565" spans="4:10">
      <c r="D565" s="34">
        <v>45189</v>
      </c>
      <c r="E565">
        <v>13.619788</v>
      </c>
      <c r="G565" s="35">
        <v>1027.3</v>
      </c>
      <c r="H565" s="36"/>
      <c r="I565" s="36"/>
      <c r="J565" s="37"/>
    </row>
    <row r="566" spans="4:10">
      <c r="D566" s="34">
        <v>45187</v>
      </c>
      <c r="E566">
        <v>6.3973190000000004</v>
      </c>
      <c r="G566" s="35">
        <v>1024.75</v>
      </c>
      <c r="H566" s="36"/>
      <c r="I566" s="36"/>
      <c r="J566" s="37"/>
    </row>
    <row r="567" spans="4:10">
      <c r="D567" s="34">
        <v>45184</v>
      </c>
      <c r="E567">
        <v>8.9861570000000004</v>
      </c>
      <c r="G567" s="35">
        <v>1027.1500000000001</v>
      </c>
      <c r="H567" s="36"/>
      <c r="I567" s="36"/>
      <c r="J567" s="37"/>
    </row>
    <row r="568" spans="4:10">
      <c r="D568" s="34">
        <v>45183</v>
      </c>
      <c r="E568">
        <v>7.8555580000000003</v>
      </c>
      <c r="G568" s="35">
        <v>1020.9</v>
      </c>
      <c r="H568" s="36"/>
      <c r="I568" s="36"/>
      <c r="J568" s="37"/>
    </row>
    <row r="569" spans="4:10">
      <c r="D569" s="34">
        <v>45182</v>
      </c>
      <c r="E569">
        <v>12.254422999999999</v>
      </c>
      <c r="G569" s="35">
        <v>1014.45</v>
      </c>
      <c r="H569" s="36"/>
      <c r="I569" s="36"/>
      <c r="J569" s="37"/>
    </row>
    <row r="570" spans="4:10">
      <c r="D570" s="34">
        <v>45181</v>
      </c>
      <c r="E570">
        <v>8.9583270000000006</v>
      </c>
      <c r="G570" s="35">
        <v>1000.9</v>
      </c>
      <c r="H570" s="36"/>
      <c r="I570" s="36"/>
      <c r="J570" s="37"/>
    </row>
    <row r="571" spans="4:10">
      <c r="D571" s="34">
        <v>45180</v>
      </c>
      <c r="E571">
        <v>7.130484</v>
      </c>
      <c r="G571" s="35">
        <v>1000.4</v>
      </c>
      <c r="H571" s="36"/>
      <c r="I571" s="36"/>
      <c r="J571" s="37"/>
    </row>
    <row r="572" spans="4:10">
      <c r="D572" s="34">
        <v>45177</v>
      </c>
      <c r="E572">
        <v>6.4393510000000003</v>
      </c>
      <c r="G572" s="35">
        <v>980.3</v>
      </c>
      <c r="H572" s="36"/>
      <c r="I572" s="36"/>
      <c r="J572" s="37"/>
    </row>
    <row r="573" spans="4:10">
      <c r="D573" s="34">
        <v>45176</v>
      </c>
      <c r="E573">
        <v>8.6865500000000004</v>
      </c>
      <c r="G573" s="35">
        <v>978.2</v>
      </c>
      <c r="H573" s="36"/>
      <c r="I573" s="36"/>
      <c r="J573" s="37"/>
    </row>
    <row r="574" spans="4:10">
      <c r="D574" s="34">
        <v>45175</v>
      </c>
      <c r="E574">
        <v>16.351051999999999</v>
      </c>
      <c r="G574" s="35">
        <v>965.05</v>
      </c>
      <c r="H574" s="36"/>
      <c r="I574" s="36"/>
      <c r="J574" s="37"/>
    </row>
    <row r="575" spans="4:10">
      <c r="D575" s="34">
        <v>45174</v>
      </c>
      <c r="E575">
        <v>10.54866</v>
      </c>
      <c r="G575" s="35">
        <v>981.45</v>
      </c>
      <c r="H575" s="36"/>
      <c r="I575" s="36"/>
      <c r="J575" s="37"/>
    </row>
    <row r="576" spans="4:10">
      <c r="D576" s="34">
        <v>45173</v>
      </c>
      <c r="E576">
        <v>6.7271879999999999</v>
      </c>
      <c r="G576" s="35">
        <v>982.25</v>
      </c>
      <c r="H576" s="36"/>
      <c r="I576" s="36"/>
      <c r="J576" s="37"/>
    </row>
    <row r="577" spans="4:10">
      <c r="D577" s="34">
        <v>45170</v>
      </c>
      <c r="E577">
        <v>10.946742</v>
      </c>
      <c r="G577" s="35">
        <v>991.15</v>
      </c>
      <c r="H577" s="36"/>
      <c r="I577" s="36"/>
      <c r="J577" s="37"/>
    </row>
    <row r="578" spans="4:10">
      <c r="D578" s="34">
        <v>45169</v>
      </c>
      <c r="E578">
        <v>21.558299999999999</v>
      </c>
      <c r="G578" s="35">
        <v>973.5</v>
      </c>
      <c r="H578" s="36"/>
      <c r="I578" s="36"/>
      <c r="J578" s="37"/>
    </row>
    <row r="579" spans="4:10">
      <c r="D579" s="34">
        <v>45168</v>
      </c>
      <c r="E579">
        <v>9.0230829999999997</v>
      </c>
      <c r="G579" s="35">
        <v>983.35</v>
      </c>
      <c r="H579" s="36"/>
      <c r="I579" s="36"/>
      <c r="J579" s="37"/>
    </row>
    <row r="580" spans="4:10">
      <c r="D580" s="34">
        <v>45167</v>
      </c>
      <c r="E580">
        <v>8.114141</v>
      </c>
      <c r="G580" s="35">
        <v>980.7</v>
      </c>
      <c r="H580" s="36"/>
      <c r="I580" s="36"/>
      <c r="J580" s="37"/>
    </row>
    <row r="581" spans="4:10">
      <c r="D581" s="34">
        <v>45166</v>
      </c>
      <c r="E581">
        <v>8.4514410000000009</v>
      </c>
      <c r="G581" s="35">
        <v>990.2</v>
      </c>
      <c r="H581" s="36"/>
      <c r="I581" s="36"/>
      <c r="J581" s="37"/>
    </row>
    <row r="582" spans="4:10">
      <c r="D582" s="34">
        <v>45163</v>
      </c>
      <c r="E582">
        <v>6.2282409999999997</v>
      </c>
      <c r="G582" s="35">
        <v>983.1</v>
      </c>
      <c r="H582" s="36"/>
      <c r="I582" s="36"/>
      <c r="J582" s="37"/>
    </row>
    <row r="583" spans="4:10">
      <c r="D583" s="34">
        <v>45162</v>
      </c>
      <c r="E583">
        <v>11.899556</v>
      </c>
      <c r="G583" s="35">
        <v>981.35</v>
      </c>
      <c r="H583" s="36"/>
      <c r="I583" s="36"/>
      <c r="J583" s="37"/>
    </row>
    <row r="584" spans="4:10">
      <c r="D584" s="34">
        <v>45161</v>
      </c>
      <c r="E584">
        <v>12.677151</v>
      </c>
      <c r="G584" s="35">
        <v>979.25</v>
      </c>
      <c r="H584" s="36"/>
      <c r="I584" s="36"/>
      <c r="J584" s="37"/>
    </row>
    <row r="585" spans="4:10">
      <c r="D585" s="34">
        <v>45160</v>
      </c>
      <c r="E585">
        <v>10.860061</v>
      </c>
      <c r="G585" s="35">
        <v>957.05</v>
      </c>
      <c r="H585" s="36"/>
      <c r="I585" s="36"/>
      <c r="J585" s="37"/>
    </row>
    <row r="586" spans="4:10">
      <c r="D586" s="34">
        <v>45159</v>
      </c>
      <c r="E586">
        <v>6.8221550000000004</v>
      </c>
      <c r="G586" s="35">
        <v>952.6</v>
      </c>
      <c r="H586" s="36"/>
      <c r="I586" s="36"/>
      <c r="J586" s="37"/>
    </row>
    <row r="587" spans="4:10">
      <c r="D587" s="34">
        <v>45156</v>
      </c>
      <c r="E587">
        <v>6.6487439999999998</v>
      </c>
      <c r="G587" s="35">
        <v>943.05</v>
      </c>
      <c r="H587" s="36"/>
      <c r="I587" s="36"/>
      <c r="J587" s="37"/>
    </row>
    <row r="588" spans="4:10">
      <c r="D588" s="34">
        <v>45155</v>
      </c>
      <c r="E588">
        <v>9.3369940000000007</v>
      </c>
      <c r="G588" s="35">
        <v>936.55</v>
      </c>
      <c r="H588" s="36"/>
      <c r="I588" s="36"/>
      <c r="J588" s="37"/>
    </row>
    <row r="589" spans="4:10">
      <c r="D589" s="34">
        <v>45154</v>
      </c>
      <c r="E589">
        <v>7.3946230000000002</v>
      </c>
      <c r="G589" s="35">
        <v>933.05</v>
      </c>
      <c r="H589" s="36"/>
      <c r="I589" s="36"/>
      <c r="J589" s="37"/>
    </row>
    <row r="590" spans="4:10">
      <c r="D590" s="34">
        <v>45152</v>
      </c>
      <c r="E590">
        <v>7.1725219999999998</v>
      </c>
      <c r="G590" s="35">
        <v>939.95</v>
      </c>
      <c r="H590" s="36"/>
      <c r="I590" s="36"/>
      <c r="J590" s="37"/>
    </row>
    <row r="591" spans="4:10">
      <c r="D591" s="34">
        <v>45149</v>
      </c>
      <c r="E591">
        <v>9.5582370000000001</v>
      </c>
      <c r="G591" s="35">
        <v>937.2</v>
      </c>
      <c r="H591" s="36"/>
      <c r="I591" s="36"/>
      <c r="J591" s="37"/>
    </row>
    <row r="592" spans="4:10">
      <c r="D592" s="34">
        <v>45148</v>
      </c>
      <c r="E592">
        <v>13.590890999999999</v>
      </c>
      <c r="G592" s="35">
        <v>939.75</v>
      </c>
      <c r="H592" s="36"/>
      <c r="I592" s="36"/>
      <c r="J592" s="37"/>
    </row>
    <row r="593" spans="4:10">
      <c r="D593" s="34">
        <v>45147</v>
      </c>
      <c r="E593">
        <v>7.7018310000000003</v>
      </c>
      <c r="G593" s="35">
        <v>950</v>
      </c>
      <c r="H593" s="36"/>
      <c r="I593" s="36"/>
      <c r="J593" s="37"/>
    </row>
    <row r="594" spans="4:10">
      <c r="D594" s="34">
        <v>45146</v>
      </c>
      <c r="E594">
        <v>11.512734999999999</v>
      </c>
      <c r="G594" s="35">
        <v>952.9</v>
      </c>
      <c r="H594" s="36"/>
      <c r="I594" s="36"/>
      <c r="J594" s="37"/>
    </row>
    <row r="595" spans="4:10">
      <c r="D595" s="34">
        <v>45145</v>
      </c>
      <c r="E595">
        <v>10.922609</v>
      </c>
      <c r="G595" s="35">
        <v>947.4</v>
      </c>
      <c r="H595" s="36"/>
      <c r="I595" s="36"/>
      <c r="J595" s="37"/>
    </row>
    <row r="596" spans="4:10">
      <c r="D596" s="34">
        <v>45142</v>
      </c>
      <c r="E596">
        <v>12.376086000000001</v>
      </c>
      <c r="G596" s="35">
        <v>952.25</v>
      </c>
      <c r="H596" s="36"/>
      <c r="I596" s="36"/>
      <c r="J596" s="37"/>
    </row>
    <row r="597" spans="4:10">
      <c r="D597" s="34">
        <v>45141</v>
      </c>
      <c r="E597">
        <v>17.076611</v>
      </c>
      <c r="G597" s="35">
        <v>935.55</v>
      </c>
      <c r="H597" s="36"/>
      <c r="I597" s="36"/>
      <c r="J597" s="37"/>
    </row>
    <row r="598" spans="4:10">
      <c r="D598" s="34">
        <v>45140</v>
      </c>
      <c r="E598">
        <v>9.324465</v>
      </c>
      <c r="G598" s="35">
        <v>945.25</v>
      </c>
      <c r="H598" s="36"/>
      <c r="I598" s="36"/>
      <c r="J598" s="37"/>
    </row>
    <row r="599" spans="4:10">
      <c r="D599" s="34">
        <v>45139</v>
      </c>
      <c r="E599">
        <v>8.4090959999999999</v>
      </c>
      <c r="G599" s="35">
        <v>959.9</v>
      </c>
      <c r="H599" s="36"/>
      <c r="I599" s="36"/>
      <c r="J599" s="37"/>
    </row>
    <row r="600" spans="4:10">
      <c r="D600" s="34">
        <v>45138</v>
      </c>
      <c r="E600">
        <v>6.6019909999999999</v>
      </c>
      <c r="G600" s="35">
        <v>953.9</v>
      </c>
      <c r="H600" s="36"/>
      <c r="I600" s="36"/>
      <c r="J600" s="37"/>
    </row>
    <row r="601" spans="4:10">
      <c r="D601" s="34">
        <v>45135</v>
      </c>
      <c r="E601">
        <v>8.5043919999999993</v>
      </c>
      <c r="G601" s="35">
        <v>949.95</v>
      </c>
      <c r="H601" s="36"/>
      <c r="I601" s="36"/>
      <c r="J601" s="37"/>
    </row>
    <row r="602" spans="4:10">
      <c r="D602" s="34">
        <v>45134</v>
      </c>
      <c r="E602">
        <v>17.858060999999999</v>
      </c>
      <c r="G602" s="35">
        <v>959.9</v>
      </c>
      <c r="H602" s="36"/>
      <c r="I602" s="36"/>
      <c r="J602" s="37"/>
    </row>
    <row r="603" spans="4:10">
      <c r="D603" s="34">
        <v>45133</v>
      </c>
      <c r="E603">
        <v>8.2982259999999997</v>
      </c>
      <c r="G603" s="35">
        <v>976.8</v>
      </c>
      <c r="H603" s="36"/>
      <c r="I603" s="36"/>
      <c r="J603" s="37"/>
    </row>
    <row r="604" spans="4:10">
      <c r="D604" s="34">
        <v>45132</v>
      </c>
      <c r="E604">
        <v>13.448045</v>
      </c>
      <c r="G604" s="35">
        <v>962.5</v>
      </c>
      <c r="H604" s="36"/>
      <c r="I604" s="36"/>
      <c r="J604" s="37"/>
    </row>
    <row r="605" spans="4:10">
      <c r="D605" s="34">
        <v>45131</v>
      </c>
      <c r="E605">
        <v>9.1677879999999998</v>
      </c>
      <c r="G605" s="35">
        <v>971.5</v>
      </c>
      <c r="H605" s="36"/>
      <c r="I605" s="36"/>
      <c r="J605" s="37"/>
    </row>
    <row r="606" spans="4:10">
      <c r="D606" s="34">
        <v>45128</v>
      </c>
      <c r="E606">
        <v>6.2303170000000003</v>
      </c>
      <c r="G606" s="35">
        <v>971.3</v>
      </c>
      <c r="H606" s="36"/>
      <c r="I606" s="36"/>
      <c r="J606" s="37"/>
    </row>
    <row r="607" spans="4:10">
      <c r="D607" s="34">
        <v>45127</v>
      </c>
      <c r="E607">
        <v>15.329753</v>
      </c>
      <c r="G607" s="35">
        <v>977.9</v>
      </c>
      <c r="H607" s="36"/>
      <c r="I607" s="36"/>
      <c r="J607" s="37"/>
    </row>
    <row r="608" spans="4:10">
      <c r="D608" s="34">
        <v>45126</v>
      </c>
      <c r="E608">
        <v>7.5745440000000004</v>
      </c>
      <c r="G608" s="35">
        <v>964.3</v>
      </c>
      <c r="H608" s="36"/>
      <c r="I608" s="36"/>
      <c r="J608" s="37"/>
    </row>
    <row r="609" spans="4:10">
      <c r="D609" s="34">
        <v>45125</v>
      </c>
      <c r="E609">
        <v>14.457717000000001</v>
      </c>
      <c r="G609" s="35">
        <v>963.65</v>
      </c>
      <c r="H609" s="36"/>
      <c r="I609" s="36"/>
      <c r="J609" s="37"/>
    </row>
    <row r="610" spans="4:10">
      <c r="D610" s="34">
        <v>45124</v>
      </c>
      <c r="E610">
        <v>8.4724439999999994</v>
      </c>
      <c r="G610" s="35">
        <v>964.85</v>
      </c>
      <c r="H610" s="36"/>
      <c r="I610" s="36"/>
      <c r="J610" s="37"/>
    </row>
    <row r="611" spans="4:10">
      <c r="D611" s="34">
        <v>45121</v>
      </c>
      <c r="E611">
        <v>5.3835139999999999</v>
      </c>
      <c r="G611" s="35">
        <v>957.05</v>
      </c>
      <c r="H611" s="36"/>
      <c r="I611" s="36"/>
      <c r="J611" s="37"/>
    </row>
    <row r="612" spans="4:10">
      <c r="D612" s="34">
        <v>45120</v>
      </c>
      <c r="E612">
        <v>13.079929999999999</v>
      </c>
      <c r="G612" s="35">
        <v>960.15</v>
      </c>
      <c r="H612" s="36"/>
      <c r="I612" s="36"/>
      <c r="J612" s="37"/>
    </row>
    <row r="613" spans="4:10">
      <c r="D613" s="34">
        <v>45119</v>
      </c>
      <c r="E613">
        <v>10.141257</v>
      </c>
      <c r="G613" s="35">
        <v>950</v>
      </c>
      <c r="H613" s="36"/>
      <c r="I613" s="36"/>
      <c r="J613" s="37"/>
    </row>
    <row r="614" spans="4:10">
      <c r="D614" s="34">
        <v>45118</v>
      </c>
      <c r="E614">
        <v>10.616390000000001</v>
      </c>
      <c r="G614" s="35">
        <v>953.2</v>
      </c>
      <c r="H614" s="36"/>
      <c r="I614" s="36"/>
      <c r="J614" s="37"/>
    </row>
    <row r="615" spans="4:10">
      <c r="D615" s="34">
        <v>45117</v>
      </c>
      <c r="E615">
        <v>7.1388499999999997</v>
      </c>
      <c r="G615" s="35">
        <v>964.05</v>
      </c>
      <c r="H615" s="36"/>
      <c r="I615" s="36"/>
      <c r="J615" s="37"/>
    </row>
    <row r="616" spans="4:10">
      <c r="D616" s="34">
        <v>45114</v>
      </c>
      <c r="E616">
        <v>6.2365240000000002</v>
      </c>
      <c r="G616" s="35">
        <v>976.7</v>
      </c>
      <c r="H616" s="36"/>
      <c r="I616" s="36"/>
      <c r="J616" s="37"/>
    </row>
    <row r="617" spans="4:10">
      <c r="D617" s="34">
        <v>45113</v>
      </c>
      <c r="E617">
        <v>10.221727</v>
      </c>
      <c r="G617" s="35">
        <v>980.95</v>
      </c>
      <c r="H617" s="36"/>
      <c r="I617" s="36"/>
      <c r="J617" s="37"/>
    </row>
    <row r="618" spans="4:10">
      <c r="D618" s="34">
        <v>45112</v>
      </c>
      <c r="E618">
        <v>8.2000469999999996</v>
      </c>
      <c r="G618" s="35">
        <v>966.5</v>
      </c>
      <c r="H618" s="36"/>
      <c r="I618" s="36"/>
      <c r="J618" s="37"/>
    </row>
    <row r="619" spans="4:10">
      <c r="D619" s="34">
        <v>45111</v>
      </c>
      <c r="E619">
        <v>7.3968059999999998</v>
      </c>
      <c r="G619" s="35">
        <v>970.7</v>
      </c>
      <c r="H619" s="36"/>
      <c r="I619" s="36"/>
      <c r="J619" s="37"/>
    </row>
    <row r="620" spans="4:10">
      <c r="D620" s="34">
        <v>45110</v>
      </c>
      <c r="E620">
        <v>5.5627430000000002</v>
      </c>
      <c r="G620" s="35">
        <v>982.1</v>
      </c>
      <c r="H620" s="36"/>
      <c r="I620" s="36"/>
      <c r="J620" s="37"/>
    </row>
    <row r="621" spans="4:10">
      <c r="D621" s="34">
        <v>45107</v>
      </c>
      <c r="E621">
        <v>7.0963500000000002</v>
      </c>
      <c r="G621" s="35">
        <v>987.45</v>
      </c>
      <c r="H621" s="36"/>
      <c r="I621" s="36"/>
      <c r="J621" s="37"/>
    </row>
    <row r="622" spans="4:10">
      <c r="D622" s="34">
        <v>45105</v>
      </c>
      <c r="E622">
        <v>10.010996</v>
      </c>
      <c r="G622" s="35">
        <v>978.2</v>
      </c>
      <c r="H622" s="36"/>
      <c r="I622" s="36"/>
      <c r="J622" s="37"/>
    </row>
    <row r="623" spans="4:10">
      <c r="D623" s="34">
        <v>45104</v>
      </c>
      <c r="E623">
        <v>6.9218859999999998</v>
      </c>
      <c r="G623" s="35">
        <v>973.25</v>
      </c>
      <c r="H623" s="36"/>
      <c r="I623" s="36"/>
      <c r="J623" s="37"/>
    </row>
    <row r="624" spans="4:10">
      <c r="D624" s="34">
        <v>45103</v>
      </c>
      <c r="E624">
        <v>5.7995279999999996</v>
      </c>
      <c r="G624" s="35">
        <v>960.55</v>
      </c>
      <c r="H624" s="36"/>
      <c r="I624" s="36"/>
      <c r="J624" s="37"/>
    </row>
    <row r="625" spans="4:10">
      <c r="D625" s="34">
        <v>45100</v>
      </c>
      <c r="E625">
        <v>6.188008</v>
      </c>
      <c r="G625" s="35">
        <v>958.4</v>
      </c>
      <c r="H625" s="36"/>
      <c r="I625" s="36"/>
      <c r="J625" s="37"/>
    </row>
    <row r="626" spans="4:10">
      <c r="D626" s="34">
        <v>45099</v>
      </c>
      <c r="E626">
        <v>10.135883</v>
      </c>
      <c r="G626" s="35">
        <v>966.6</v>
      </c>
      <c r="H626" s="36"/>
      <c r="I626" s="36"/>
      <c r="J626" s="37"/>
    </row>
    <row r="627" spans="4:10">
      <c r="D627" s="34">
        <v>45098</v>
      </c>
      <c r="E627">
        <v>7.8058550000000002</v>
      </c>
      <c r="G627" s="35">
        <v>966</v>
      </c>
      <c r="H627" s="36"/>
      <c r="I627" s="36"/>
      <c r="J627" s="37"/>
    </row>
    <row r="628" spans="4:10">
      <c r="D628" s="34">
        <v>45097</v>
      </c>
      <c r="E628">
        <v>7.5965930000000004</v>
      </c>
      <c r="G628" s="35">
        <v>974.85</v>
      </c>
      <c r="H628" s="36"/>
      <c r="I628" s="36"/>
      <c r="J628" s="37"/>
    </row>
    <row r="629" spans="4:10">
      <c r="D629" s="34">
        <v>45096</v>
      </c>
      <c r="E629">
        <v>11.025846</v>
      </c>
      <c r="G629" s="35">
        <v>965.65</v>
      </c>
      <c r="H629" s="36"/>
      <c r="I629" s="36"/>
      <c r="J629" s="37"/>
    </row>
    <row r="630" spans="4:10">
      <c r="D630" s="34">
        <v>45093</v>
      </c>
      <c r="E630">
        <v>8.8609000000000009</v>
      </c>
      <c r="G630" s="35">
        <v>981.55</v>
      </c>
      <c r="H630" s="36"/>
      <c r="I630" s="36"/>
      <c r="J630" s="37"/>
    </row>
    <row r="631" spans="4:10">
      <c r="D631" s="34">
        <v>45092</v>
      </c>
      <c r="E631">
        <v>15.978311</v>
      </c>
      <c r="G631" s="35">
        <v>977.15</v>
      </c>
      <c r="H631" s="36"/>
      <c r="I631" s="36"/>
      <c r="J631" s="37"/>
    </row>
    <row r="632" spans="4:10">
      <c r="D632" s="34">
        <v>45091</v>
      </c>
      <c r="E632">
        <v>8.6444229999999997</v>
      </c>
      <c r="G632" s="35">
        <v>977.7</v>
      </c>
      <c r="H632" s="36"/>
      <c r="I632" s="36"/>
      <c r="J632" s="37"/>
    </row>
    <row r="633" spans="4:10">
      <c r="D633" s="34">
        <v>45090</v>
      </c>
      <c r="E633">
        <v>15.233784999999999</v>
      </c>
      <c r="G633" s="35">
        <v>985.85</v>
      </c>
      <c r="H633" s="36"/>
      <c r="I633" s="36"/>
      <c r="J633" s="37"/>
    </row>
    <row r="634" spans="4:10">
      <c r="D634" s="34">
        <v>45089</v>
      </c>
      <c r="E634">
        <v>7.4653749999999999</v>
      </c>
      <c r="G634" s="35">
        <v>974.2</v>
      </c>
      <c r="H634" s="36"/>
      <c r="I634" s="36"/>
      <c r="J634" s="37"/>
    </row>
    <row r="635" spans="4:10">
      <c r="D635" s="34">
        <v>45086</v>
      </c>
      <c r="E635">
        <v>12.947464</v>
      </c>
      <c r="G635" s="35">
        <v>974.75</v>
      </c>
      <c r="H635" s="36"/>
      <c r="I635" s="36"/>
      <c r="J635" s="37"/>
    </row>
    <row r="636" spans="4:10">
      <c r="D636" s="34">
        <v>45085</v>
      </c>
      <c r="E636">
        <v>10.209982</v>
      </c>
      <c r="G636" s="35">
        <v>962.1</v>
      </c>
      <c r="H636" s="36"/>
      <c r="I636" s="36"/>
      <c r="J636" s="37"/>
    </row>
    <row r="637" spans="4:10">
      <c r="D637" s="34">
        <v>45084</v>
      </c>
      <c r="E637">
        <v>15.795824</v>
      </c>
      <c r="G637" s="35">
        <v>976.75</v>
      </c>
      <c r="H637" s="36"/>
      <c r="I637" s="36"/>
      <c r="J637" s="37"/>
    </row>
    <row r="638" spans="4:10">
      <c r="D638" s="34">
        <v>45083</v>
      </c>
      <c r="E638">
        <v>14.457988</v>
      </c>
      <c r="G638" s="35">
        <v>968.2</v>
      </c>
      <c r="H638" s="36"/>
      <c r="I638" s="36"/>
      <c r="J638" s="37"/>
    </row>
    <row r="639" spans="4:10">
      <c r="D639" s="34">
        <v>45082</v>
      </c>
      <c r="E639">
        <v>14.520004999999999</v>
      </c>
      <c r="G639" s="35">
        <v>950.85</v>
      </c>
      <c r="H639" s="36"/>
      <c r="I639" s="36"/>
      <c r="J639" s="37"/>
    </row>
    <row r="640" spans="4:10">
      <c r="D640" s="34">
        <v>45079</v>
      </c>
      <c r="E640">
        <v>11.616991000000001</v>
      </c>
      <c r="G640" s="35">
        <v>926.1</v>
      </c>
      <c r="H640" s="36"/>
      <c r="I640" s="36"/>
      <c r="J640" s="37"/>
    </row>
    <row r="641" spans="4:10">
      <c r="D641" s="34">
        <v>45078</v>
      </c>
      <c r="E641">
        <v>11.817532999999999</v>
      </c>
      <c r="G641" s="35">
        <v>919.7</v>
      </c>
      <c r="H641" s="36"/>
      <c r="I641" s="36"/>
      <c r="J641" s="37"/>
    </row>
    <row r="642" spans="4:10">
      <c r="D642" s="34">
        <v>45077</v>
      </c>
      <c r="E642">
        <v>34.757004000000002</v>
      </c>
      <c r="G642" s="35">
        <v>914.85</v>
      </c>
      <c r="H642" s="36"/>
      <c r="I642" s="36"/>
      <c r="J642" s="37"/>
    </row>
    <row r="643" spans="4:10">
      <c r="D643" s="34">
        <v>45076</v>
      </c>
      <c r="E643">
        <v>7.8044029999999998</v>
      </c>
      <c r="G643" s="35">
        <v>937.45</v>
      </c>
      <c r="H643" s="36"/>
      <c r="I643" s="36"/>
      <c r="J643" s="37"/>
    </row>
    <row r="644" spans="4:10">
      <c r="D644" s="34">
        <v>45075</v>
      </c>
      <c r="E644">
        <v>7.1338710000000001</v>
      </c>
      <c r="G644" s="35">
        <v>929.8</v>
      </c>
      <c r="H644" s="36"/>
      <c r="I644" s="36"/>
      <c r="J644" s="37"/>
    </row>
    <row r="645" spans="4:10">
      <c r="D645" s="34">
        <v>45072</v>
      </c>
      <c r="E645">
        <v>4.9084620000000001</v>
      </c>
      <c r="G645" s="35">
        <v>926.95</v>
      </c>
      <c r="H645" s="36"/>
      <c r="I645" s="36"/>
      <c r="J645" s="37"/>
    </row>
    <row r="646" spans="4:10">
      <c r="D646" s="34">
        <v>45071</v>
      </c>
      <c r="E646">
        <v>8.1493500000000001</v>
      </c>
      <c r="G646" s="35">
        <v>921.05</v>
      </c>
      <c r="H646" s="36"/>
      <c r="I646" s="36"/>
      <c r="J646" s="37"/>
    </row>
    <row r="647" spans="4:10">
      <c r="D647" s="34">
        <v>45070</v>
      </c>
      <c r="E647">
        <v>6.248545</v>
      </c>
      <c r="G647" s="35">
        <v>917.7</v>
      </c>
      <c r="H647" s="36"/>
      <c r="I647" s="36"/>
      <c r="J647" s="37"/>
    </row>
    <row r="648" spans="4:10">
      <c r="D648" s="34">
        <v>45069</v>
      </c>
      <c r="E648">
        <v>8.2734450000000006</v>
      </c>
      <c r="G648" s="35">
        <v>916.15</v>
      </c>
      <c r="H648" s="36"/>
      <c r="I648" s="36"/>
      <c r="J648" s="37"/>
    </row>
    <row r="649" spans="4:10">
      <c r="D649" s="34">
        <v>45068</v>
      </c>
      <c r="E649">
        <v>9.3831579999999999</v>
      </c>
      <c r="G649" s="35">
        <v>917.55</v>
      </c>
      <c r="H649" s="36"/>
      <c r="I649" s="36"/>
      <c r="J649" s="37"/>
    </row>
    <row r="650" spans="4:10">
      <c r="D650" s="34">
        <v>45065</v>
      </c>
      <c r="E650">
        <v>8.3930019999999992</v>
      </c>
      <c r="G650" s="35">
        <v>924.05</v>
      </c>
      <c r="H650" s="36"/>
      <c r="I650" s="36"/>
      <c r="J650" s="37"/>
    </row>
    <row r="651" spans="4:10">
      <c r="D651" s="34">
        <v>45064</v>
      </c>
      <c r="E651">
        <v>13.614127</v>
      </c>
      <c r="G651" s="35">
        <v>914.7</v>
      </c>
      <c r="H651" s="36"/>
      <c r="I651" s="36"/>
      <c r="J651" s="37"/>
    </row>
    <row r="652" spans="4:10">
      <c r="D652" s="34">
        <v>45063</v>
      </c>
      <c r="E652">
        <v>10.248327</v>
      </c>
      <c r="G652" s="35">
        <v>914.8</v>
      </c>
      <c r="H652" s="36"/>
      <c r="I652" s="36"/>
      <c r="J652" s="37"/>
    </row>
    <row r="653" spans="4:10">
      <c r="D653" s="34">
        <v>45062</v>
      </c>
      <c r="E653">
        <v>12.567615</v>
      </c>
      <c r="G653" s="35">
        <v>917.8</v>
      </c>
      <c r="H653" s="36"/>
      <c r="I653" s="36"/>
      <c r="J653" s="37"/>
    </row>
    <row r="654" spans="4:10">
      <c r="D654" s="34">
        <v>45061</v>
      </c>
      <c r="E654">
        <v>7.3395789999999996</v>
      </c>
      <c r="G654" s="35">
        <v>915.8</v>
      </c>
      <c r="H654" s="36"/>
      <c r="I654" s="36"/>
      <c r="J654" s="37"/>
    </row>
    <row r="655" spans="4:10">
      <c r="D655" s="34">
        <v>45058</v>
      </c>
      <c r="E655">
        <v>10.533272</v>
      </c>
      <c r="G655" s="35">
        <v>910.65</v>
      </c>
      <c r="H655" s="36"/>
      <c r="I655" s="36"/>
      <c r="J655" s="37"/>
    </row>
    <row r="656" spans="4:10">
      <c r="D656" s="34">
        <v>45057</v>
      </c>
      <c r="E656">
        <v>13.816121000000001</v>
      </c>
      <c r="G656" s="35">
        <v>895.95</v>
      </c>
      <c r="H656" s="36"/>
      <c r="I656" s="36"/>
      <c r="J656" s="37"/>
    </row>
    <row r="657" spans="4:10">
      <c r="D657" s="34">
        <v>45056</v>
      </c>
      <c r="E657">
        <v>11.893027</v>
      </c>
      <c r="G657" s="35">
        <v>889.9</v>
      </c>
      <c r="H657" s="36"/>
      <c r="I657" s="36"/>
      <c r="J657" s="37"/>
    </row>
    <row r="658" spans="4:10">
      <c r="D658" s="34">
        <v>45055</v>
      </c>
      <c r="E658">
        <v>12.117151</v>
      </c>
      <c r="G658" s="35">
        <v>888.25</v>
      </c>
      <c r="H658" s="36"/>
      <c r="I658" s="36"/>
      <c r="J658" s="37"/>
    </row>
    <row r="659" spans="4:10">
      <c r="D659" s="34">
        <v>45054</v>
      </c>
      <c r="E659">
        <v>7.0078820000000004</v>
      </c>
      <c r="G659" s="35">
        <v>878.45</v>
      </c>
      <c r="H659" s="36"/>
      <c r="I659" s="36"/>
      <c r="J659" s="37"/>
    </row>
    <row r="660" spans="4:10">
      <c r="D660" s="34">
        <v>45051</v>
      </c>
      <c r="E660">
        <v>14.343308</v>
      </c>
      <c r="G660" s="35">
        <v>865.3</v>
      </c>
      <c r="H660" s="36"/>
      <c r="I660" s="36"/>
      <c r="J660" s="37"/>
    </row>
    <row r="661" spans="4:10">
      <c r="D661" s="34">
        <v>45050</v>
      </c>
      <c r="E661">
        <v>9.7563910000000007</v>
      </c>
      <c r="G661" s="35">
        <v>865.95</v>
      </c>
      <c r="H661" s="36"/>
      <c r="I661" s="36"/>
      <c r="J661" s="37"/>
    </row>
    <row r="662" spans="4:10">
      <c r="D662" s="34">
        <v>45049</v>
      </c>
      <c r="E662">
        <v>15.103014999999999</v>
      </c>
      <c r="G662" s="35">
        <v>859.85</v>
      </c>
      <c r="H662" s="36"/>
      <c r="I662" s="36"/>
      <c r="J662" s="37"/>
    </row>
    <row r="663" spans="4:10">
      <c r="D663" s="34">
        <v>45048</v>
      </c>
      <c r="E663">
        <v>12.947953</v>
      </c>
      <c r="G663" s="35">
        <v>870.65</v>
      </c>
      <c r="H663" s="36"/>
      <c r="I663" s="36"/>
      <c r="J663" s="37"/>
    </row>
    <row r="664" spans="4:10">
      <c r="D664" s="34">
        <v>45044</v>
      </c>
      <c r="E664">
        <v>23.004117000000001</v>
      </c>
      <c r="G664" s="35">
        <v>860</v>
      </c>
      <c r="H664" s="36"/>
      <c r="I664" s="36"/>
      <c r="J664" s="37"/>
    </row>
    <row r="665" spans="4:10">
      <c r="D665" s="34">
        <v>45043</v>
      </c>
      <c r="E665">
        <v>15.992383</v>
      </c>
      <c r="G665" s="35">
        <v>881.4</v>
      </c>
      <c r="H665" s="36"/>
      <c r="I665" s="36"/>
      <c r="J665" s="37"/>
    </row>
    <row r="666" spans="4:10">
      <c r="D666" s="34">
        <v>45042</v>
      </c>
      <c r="E666">
        <v>19.468723000000001</v>
      </c>
      <c r="G666" s="35">
        <v>887.65</v>
      </c>
      <c r="H666" s="36"/>
      <c r="I666" s="36"/>
      <c r="J666" s="37"/>
    </row>
    <row r="667" spans="4:10">
      <c r="D667" s="34">
        <v>45041</v>
      </c>
      <c r="E667">
        <v>36.394388999999997</v>
      </c>
      <c r="G667" s="35">
        <v>878.35</v>
      </c>
      <c r="H667" s="36"/>
      <c r="I667" s="36"/>
      <c r="J667" s="37"/>
    </row>
    <row r="668" spans="4:10">
      <c r="D668" s="34">
        <v>45040</v>
      </c>
      <c r="E668">
        <v>18.201632</v>
      </c>
      <c r="G668" s="35">
        <v>882.3</v>
      </c>
      <c r="H668" s="36"/>
      <c r="I668" s="36"/>
      <c r="J668" s="37"/>
    </row>
    <row r="669" spans="4:10">
      <c r="D669" s="34">
        <v>45037</v>
      </c>
      <c r="E669">
        <v>15.520785999999999</v>
      </c>
      <c r="G669" s="35">
        <v>864.2</v>
      </c>
      <c r="H669" s="36"/>
      <c r="I669" s="36"/>
      <c r="J669" s="37"/>
    </row>
    <row r="670" spans="4:10">
      <c r="D670" s="34">
        <v>45036</v>
      </c>
      <c r="E670">
        <v>19.444752999999999</v>
      </c>
      <c r="G670" s="35">
        <v>868.75</v>
      </c>
      <c r="H670" s="36"/>
      <c r="I670" s="36"/>
      <c r="J670" s="37"/>
    </row>
    <row r="671" spans="4:10">
      <c r="D671" s="34">
        <v>45035</v>
      </c>
      <c r="E671">
        <v>23.494247000000001</v>
      </c>
      <c r="G671" s="35">
        <v>873.4</v>
      </c>
      <c r="H671" s="36"/>
      <c r="I671" s="36"/>
      <c r="J671" s="37"/>
    </row>
    <row r="672" spans="4:10">
      <c r="D672" s="34">
        <v>45034</v>
      </c>
      <c r="E672">
        <v>17.238709</v>
      </c>
      <c r="G672" s="35">
        <v>863.35</v>
      </c>
      <c r="H672" s="36"/>
      <c r="I672" s="36"/>
      <c r="J672" s="37"/>
    </row>
    <row r="673" spans="4:10">
      <c r="D673" s="34">
        <v>45033</v>
      </c>
      <c r="E673">
        <v>22.577380000000002</v>
      </c>
      <c r="G673" s="35">
        <v>864.55</v>
      </c>
      <c r="H673" s="36"/>
      <c r="I673" s="36"/>
      <c r="J673" s="37"/>
    </row>
    <row r="674" spans="4:10">
      <c r="D674" s="34">
        <v>45029</v>
      </c>
      <c r="E674">
        <v>23.934570000000001</v>
      </c>
      <c r="G674" s="35">
        <v>864.35</v>
      </c>
      <c r="H674" s="36"/>
      <c r="I674" s="36"/>
      <c r="J674" s="37"/>
    </row>
    <row r="675" spans="4:10">
      <c r="D675" s="34">
        <v>45028</v>
      </c>
      <c r="E675">
        <v>13.480335</v>
      </c>
      <c r="G675" s="35">
        <v>851.05</v>
      </c>
      <c r="H675" s="36"/>
      <c r="I675" s="36"/>
      <c r="J675" s="37"/>
    </row>
    <row r="676" spans="4:10">
      <c r="D676" s="34">
        <v>45027</v>
      </c>
      <c r="E676">
        <v>23.930907000000001</v>
      </c>
      <c r="G676" s="35">
        <v>853.3</v>
      </c>
      <c r="H676" s="36"/>
      <c r="I676" s="36"/>
      <c r="J676" s="37"/>
    </row>
    <row r="677" spans="4:10">
      <c r="D677" s="34">
        <v>45026</v>
      </c>
      <c r="E677">
        <v>15.656078000000001</v>
      </c>
      <c r="G677" s="35">
        <v>847.35</v>
      </c>
      <c r="H677" s="36"/>
      <c r="I677" s="36"/>
      <c r="J677" s="37"/>
    </row>
    <row r="678" spans="4:10">
      <c r="D678" s="34">
        <v>45022</v>
      </c>
      <c r="E678">
        <v>19.677316000000001</v>
      </c>
      <c r="G678" s="35">
        <v>851.95</v>
      </c>
      <c r="H678" s="36"/>
      <c r="I678" s="36"/>
      <c r="J678" s="37"/>
    </row>
    <row r="679" spans="4:10">
      <c r="D679" s="34">
        <v>45021</v>
      </c>
      <c r="E679">
        <v>11.890015</v>
      </c>
      <c r="G679" s="35">
        <v>860.5</v>
      </c>
      <c r="H679" s="36"/>
      <c r="I679" s="36"/>
      <c r="J679" s="37"/>
    </row>
    <row r="680" spans="4:10">
      <c r="D680" s="34">
        <v>45019</v>
      </c>
      <c r="E680">
        <v>13.266882000000001</v>
      </c>
      <c r="G680" s="35">
        <v>864.6</v>
      </c>
      <c r="H680" s="36"/>
      <c r="I680" s="36"/>
      <c r="J680" s="37"/>
    </row>
    <row r="681" spans="4:10">
      <c r="D681" s="34">
        <v>45016</v>
      </c>
      <c r="E681">
        <v>12.946752</v>
      </c>
      <c r="G681" s="35">
        <v>858.5</v>
      </c>
      <c r="H681" s="36"/>
      <c r="I681" s="36"/>
      <c r="J681" s="37"/>
    </row>
    <row r="682" spans="4:10">
      <c r="D682" s="34">
        <v>45014</v>
      </c>
      <c r="E682">
        <v>17.121193999999999</v>
      </c>
      <c r="G682" s="35">
        <v>842.6</v>
      </c>
      <c r="H682" s="36"/>
      <c r="I682" s="36"/>
      <c r="J682" s="37"/>
    </row>
    <row r="683" spans="4:10">
      <c r="D683" s="34">
        <v>45013</v>
      </c>
      <c r="E683">
        <v>11.002402</v>
      </c>
      <c r="G683" s="35">
        <v>832.45</v>
      </c>
      <c r="H683" s="36"/>
      <c r="I683" s="36"/>
      <c r="J683" s="37"/>
    </row>
    <row r="684" spans="4:10">
      <c r="D684" s="34">
        <v>45012</v>
      </c>
      <c r="E684">
        <v>10.602508</v>
      </c>
      <c r="G684" s="35">
        <v>833.35</v>
      </c>
      <c r="H684" s="36"/>
      <c r="I684" s="36"/>
      <c r="J684" s="37"/>
    </row>
    <row r="685" spans="4:10">
      <c r="D685" s="34">
        <v>45009</v>
      </c>
      <c r="E685">
        <v>8.0787180000000003</v>
      </c>
      <c r="G685" s="35">
        <v>839.9</v>
      </c>
      <c r="H685" s="36"/>
      <c r="I685" s="36"/>
      <c r="J685" s="37"/>
    </row>
    <row r="686" spans="4:10">
      <c r="D686" s="34">
        <v>45008</v>
      </c>
      <c r="E686">
        <v>9.8578919999999997</v>
      </c>
      <c r="G686" s="35">
        <v>848.8</v>
      </c>
      <c r="H686" s="36"/>
      <c r="I686" s="36"/>
      <c r="J686" s="37"/>
    </row>
    <row r="687" spans="4:10">
      <c r="D687" s="34">
        <v>45007</v>
      </c>
      <c r="E687">
        <v>8.0189240000000002</v>
      </c>
      <c r="G687" s="35">
        <v>849.65</v>
      </c>
      <c r="H687" s="36"/>
      <c r="I687" s="36"/>
      <c r="J687" s="37"/>
    </row>
    <row r="688" spans="4:10">
      <c r="D688" s="34">
        <v>45006</v>
      </c>
      <c r="E688">
        <v>11.489951</v>
      </c>
      <c r="G688" s="35">
        <v>855.6</v>
      </c>
      <c r="H688" s="36"/>
      <c r="I688" s="36"/>
      <c r="J688" s="37"/>
    </row>
    <row r="689" spans="4:10">
      <c r="D689" s="34">
        <v>45005</v>
      </c>
      <c r="E689">
        <v>10.744023</v>
      </c>
      <c r="G689" s="35">
        <v>837.55</v>
      </c>
      <c r="H689" s="36"/>
      <c r="I689" s="36"/>
      <c r="J689" s="37"/>
    </row>
    <row r="690" spans="4:10">
      <c r="D690" s="34">
        <v>45002</v>
      </c>
      <c r="E690">
        <v>7.7624610000000001</v>
      </c>
      <c r="G690" s="35">
        <v>837.4</v>
      </c>
      <c r="H690" s="36"/>
      <c r="I690" s="36"/>
      <c r="J690" s="37"/>
    </row>
    <row r="691" spans="4:10">
      <c r="D691" s="34">
        <v>45001</v>
      </c>
      <c r="E691">
        <v>8.7913829999999997</v>
      </c>
      <c r="G691" s="35">
        <v>830.55</v>
      </c>
      <c r="H691" s="36"/>
      <c r="I691" s="36"/>
      <c r="J691" s="37"/>
    </row>
    <row r="692" spans="4:10">
      <c r="D692" s="34">
        <v>45000</v>
      </c>
      <c r="E692">
        <v>6.652641</v>
      </c>
      <c r="G692" s="35">
        <v>824.05</v>
      </c>
      <c r="H692" s="36"/>
      <c r="I692" s="36"/>
      <c r="J692" s="37"/>
    </row>
    <row r="693" spans="4:10">
      <c r="D693" s="34">
        <v>44999</v>
      </c>
      <c r="E693">
        <v>12.573734</v>
      </c>
      <c r="G693" s="35">
        <v>832.85</v>
      </c>
      <c r="H693" s="36"/>
      <c r="I693" s="36"/>
      <c r="J693" s="37"/>
    </row>
    <row r="694" spans="4:10">
      <c r="D694" s="34">
        <v>44998</v>
      </c>
      <c r="E694">
        <v>8.3157979999999991</v>
      </c>
      <c r="G694" s="35">
        <v>832.35</v>
      </c>
      <c r="H694" s="36"/>
      <c r="I694" s="36"/>
      <c r="J694" s="37"/>
    </row>
    <row r="695" spans="4:10">
      <c r="D695" s="34">
        <v>44995</v>
      </c>
      <c r="E695">
        <v>11.198582999999999</v>
      </c>
      <c r="G695" s="35">
        <v>851.9</v>
      </c>
      <c r="H695" s="36"/>
      <c r="I695" s="36"/>
      <c r="J695" s="37"/>
    </row>
    <row r="696" spans="4:10">
      <c r="D696" s="34">
        <v>44994</v>
      </c>
      <c r="E696">
        <v>14.746065</v>
      </c>
      <c r="G696" s="35">
        <v>867.8</v>
      </c>
      <c r="H696" s="36"/>
      <c r="I696" s="36"/>
      <c r="J696" s="37"/>
    </row>
    <row r="697" spans="4:10">
      <c r="D697" s="34">
        <v>44993</v>
      </c>
      <c r="E697">
        <v>8.7857350000000007</v>
      </c>
      <c r="G697" s="35">
        <v>860.95</v>
      </c>
      <c r="H697" s="36"/>
      <c r="I697" s="36"/>
      <c r="J697" s="37"/>
    </row>
    <row r="698" spans="4:10">
      <c r="D698" s="34">
        <v>44991</v>
      </c>
      <c r="E698">
        <v>10.781567000000001</v>
      </c>
      <c r="G698" s="35">
        <v>859.5</v>
      </c>
      <c r="H698" s="36"/>
      <c r="I698" s="36"/>
      <c r="J698" s="37"/>
    </row>
    <row r="699" spans="4:10">
      <c r="D699" s="34">
        <v>44988</v>
      </c>
      <c r="E699">
        <v>7.9778039999999999</v>
      </c>
      <c r="G699" s="35">
        <v>852.65</v>
      </c>
      <c r="H699" s="36"/>
      <c r="I699" s="36"/>
      <c r="J699" s="37"/>
    </row>
    <row r="700" spans="4:10">
      <c r="D700" s="34">
        <v>44987</v>
      </c>
      <c r="E700">
        <v>13.900508</v>
      </c>
      <c r="G700" s="35">
        <v>845.45</v>
      </c>
      <c r="H700" s="36"/>
      <c r="I700" s="36"/>
      <c r="J700" s="37"/>
    </row>
    <row r="701" spans="4:10">
      <c r="D701" s="34">
        <v>44986</v>
      </c>
      <c r="E701">
        <v>12.345124999999999</v>
      </c>
      <c r="G701" s="35">
        <v>865.15</v>
      </c>
      <c r="H701" s="36"/>
      <c r="I701" s="36"/>
      <c r="J701" s="37"/>
    </row>
    <row r="702" spans="4:10">
      <c r="D702" s="34">
        <v>44985</v>
      </c>
      <c r="E702">
        <v>13.012371999999999</v>
      </c>
      <c r="G702" s="35">
        <v>844.1</v>
      </c>
      <c r="H702" s="36"/>
      <c r="I702" s="36"/>
      <c r="J702" s="37"/>
    </row>
    <row r="703" spans="4:10">
      <c r="D703" s="34">
        <v>44984</v>
      </c>
      <c r="E703">
        <v>8.0642669999999992</v>
      </c>
      <c r="G703" s="35">
        <v>854.35</v>
      </c>
      <c r="H703" s="36"/>
      <c r="I703" s="36"/>
      <c r="J703" s="37"/>
    </row>
    <row r="704" spans="4:10">
      <c r="D704" s="34">
        <v>44981</v>
      </c>
      <c r="E704">
        <v>7.763814</v>
      </c>
      <c r="G704" s="35">
        <v>851.4</v>
      </c>
      <c r="H704" s="36"/>
      <c r="I704" s="36"/>
      <c r="J704" s="37"/>
    </row>
    <row r="705" spans="4:10">
      <c r="D705" s="34">
        <v>44980</v>
      </c>
      <c r="E705">
        <v>8.4370030000000007</v>
      </c>
      <c r="G705" s="35">
        <v>844.35</v>
      </c>
      <c r="H705" s="36"/>
      <c r="I705" s="36"/>
      <c r="J705" s="37"/>
    </row>
    <row r="706" spans="4:10">
      <c r="D706" s="34">
        <v>44979</v>
      </c>
      <c r="E706">
        <v>6.9840369999999998</v>
      </c>
      <c r="G706" s="35">
        <v>833.35</v>
      </c>
      <c r="H706" s="36"/>
      <c r="I706" s="36"/>
      <c r="J706" s="37"/>
    </row>
    <row r="707" spans="4:10">
      <c r="D707" s="34">
        <v>44978</v>
      </c>
      <c r="E707">
        <v>9.6770639999999997</v>
      </c>
      <c r="G707" s="35">
        <v>844.05</v>
      </c>
      <c r="H707" s="36"/>
      <c r="I707" s="36"/>
      <c r="J707" s="37"/>
    </row>
    <row r="708" spans="4:10">
      <c r="D708" s="34">
        <v>44977</v>
      </c>
      <c r="E708">
        <v>5.9923219999999997</v>
      </c>
      <c r="G708" s="35">
        <v>846.75</v>
      </c>
      <c r="H708" s="36"/>
      <c r="I708" s="36"/>
      <c r="J708" s="37"/>
    </row>
    <row r="709" spans="4:10">
      <c r="D709" s="34">
        <v>44974</v>
      </c>
      <c r="E709">
        <v>8.4204790000000003</v>
      </c>
      <c r="G709" s="35">
        <v>854.9</v>
      </c>
      <c r="H709" s="36"/>
      <c r="I709" s="36"/>
      <c r="J709" s="37"/>
    </row>
    <row r="710" spans="4:10">
      <c r="D710" s="34">
        <v>44973</v>
      </c>
      <c r="E710">
        <v>5.843235</v>
      </c>
      <c r="G710" s="35">
        <v>864.75</v>
      </c>
      <c r="H710" s="36"/>
      <c r="I710" s="36"/>
      <c r="J710" s="37"/>
    </row>
    <row r="711" spans="4:10">
      <c r="D711" s="34">
        <v>44972</v>
      </c>
      <c r="E711">
        <v>7.3222659999999999</v>
      </c>
      <c r="G711" s="35">
        <v>868.3</v>
      </c>
      <c r="H711" s="36"/>
      <c r="I711" s="36"/>
      <c r="J711" s="37"/>
    </row>
    <row r="712" spans="4:10">
      <c r="D712" s="34">
        <v>44971</v>
      </c>
      <c r="E712">
        <v>7.527755</v>
      </c>
      <c r="G712" s="35">
        <v>870.75</v>
      </c>
      <c r="H712" s="36"/>
      <c r="I712" s="36"/>
      <c r="J712" s="37"/>
    </row>
    <row r="713" spans="4:10">
      <c r="D713" s="34">
        <v>44970</v>
      </c>
      <c r="E713">
        <v>5.7071940000000003</v>
      </c>
      <c r="G713" s="35">
        <v>859.1</v>
      </c>
      <c r="H713" s="36"/>
      <c r="I713" s="36"/>
      <c r="J713" s="37"/>
    </row>
    <row r="714" spans="4:10">
      <c r="D714" s="34">
        <v>44967</v>
      </c>
      <c r="E714">
        <v>4.6034639999999998</v>
      </c>
      <c r="G714" s="35">
        <v>867.25</v>
      </c>
      <c r="H714" s="36"/>
      <c r="I714" s="36"/>
      <c r="J714" s="37"/>
    </row>
    <row r="715" spans="4:10">
      <c r="D715" s="34">
        <v>44966</v>
      </c>
      <c r="E715">
        <v>5.9933120000000004</v>
      </c>
      <c r="G715" s="35">
        <v>867.7</v>
      </c>
      <c r="H715" s="36"/>
      <c r="I715" s="36"/>
      <c r="J715" s="37"/>
    </row>
    <row r="716" spans="4:10">
      <c r="D716" s="34">
        <v>44965</v>
      </c>
      <c r="E716">
        <v>6.5728179999999998</v>
      </c>
      <c r="G716" s="35">
        <v>871.75</v>
      </c>
      <c r="H716" s="36"/>
      <c r="I716" s="36"/>
      <c r="J716" s="37"/>
    </row>
    <row r="717" spans="4:10">
      <c r="D717" s="34">
        <v>44964</v>
      </c>
      <c r="E717">
        <v>5.0551870000000001</v>
      </c>
      <c r="G717" s="35">
        <v>879.1</v>
      </c>
      <c r="H717" s="36"/>
      <c r="I717" s="36"/>
      <c r="J717" s="37"/>
    </row>
    <row r="718" spans="4:10">
      <c r="D718" s="34">
        <v>44963</v>
      </c>
      <c r="E718">
        <v>10.129098000000001</v>
      </c>
      <c r="G718" s="35">
        <v>882.65</v>
      </c>
      <c r="H718" s="36"/>
      <c r="I718" s="36"/>
      <c r="J718" s="37"/>
    </row>
    <row r="719" spans="4:10">
      <c r="D719" s="34">
        <v>44960</v>
      </c>
      <c r="E719">
        <v>7.3657320000000004</v>
      </c>
      <c r="G719" s="35">
        <v>882.6</v>
      </c>
      <c r="H719" s="36"/>
      <c r="I719" s="36"/>
      <c r="J719" s="37"/>
    </row>
    <row r="720" spans="4:10">
      <c r="D720" s="34">
        <v>44959</v>
      </c>
      <c r="E720">
        <v>9.5670529999999996</v>
      </c>
      <c r="G720" s="35">
        <v>868.45</v>
      </c>
      <c r="H720" s="36"/>
      <c r="I720" s="36"/>
      <c r="J720" s="37"/>
    </row>
    <row r="721" spans="4:10">
      <c r="D721" s="34">
        <v>44958</v>
      </c>
      <c r="E721">
        <v>12.409819000000001</v>
      </c>
      <c r="G721" s="35">
        <v>857.25</v>
      </c>
      <c r="H721" s="36"/>
      <c r="I721" s="36"/>
      <c r="J721" s="37"/>
    </row>
    <row r="722" spans="4:10">
      <c r="D722" s="34">
        <v>44957</v>
      </c>
      <c r="E722">
        <v>16.856151000000001</v>
      </c>
      <c r="G722" s="35">
        <v>871.6</v>
      </c>
      <c r="H722" s="36"/>
      <c r="I722" s="36"/>
      <c r="J722" s="37"/>
    </row>
    <row r="723" spans="4:10">
      <c r="D723" s="34">
        <v>44956</v>
      </c>
      <c r="E723">
        <v>21.233998</v>
      </c>
      <c r="G723" s="35">
        <v>871.85</v>
      </c>
      <c r="H723" s="36"/>
      <c r="I723" s="36"/>
      <c r="J723" s="37"/>
    </row>
    <row r="724" spans="4:10">
      <c r="D724" s="34">
        <v>44953</v>
      </c>
      <c r="E724">
        <v>17.300736000000001</v>
      </c>
      <c r="G724" s="35">
        <v>873.75</v>
      </c>
      <c r="H724" s="36"/>
      <c r="I724" s="36"/>
      <c r="J724" s="37"/>
    </row>
    <row r="725" spans="4:10">
      <c r="D725" s="34">
        <v>44951</v>
      </c>
      <c r="E725">
        <v>11.921747999999999</v>
      </c>
      <c r="G725" s="35">
        <v>892.35</v>
      </c>
      <c r="H725" s="36"/>
      <c r="I725" s="36"/>
      <c r="J725" s="37"/>
    </row>
    <row r="726" spans="4:10">
      <c r="D726" s="34">
        <v>44950</v>
      </c>
      <c r="E726">
        <v>18.527896999999999</v>
      </c>
      <c r="G726" s="35">
        <v>910.2</v>
      </c>
      <c r="H726" s="36"/>
      <c r="I726" s="36"/>
      <c r="J726" s="37"/>
    </row>
    <row r="727" spans="4:10">
      <c r="D727" s="34">
        <v>44949</v>
      </c>
      <c r="E727">
        <v>5.2361240000000002</v>
      </c>
      <c r="G727" s="35">
        <v>932.7</v>
      </c>
      <c r="H727" s="36"/>
      <c r="I727" s="36"/>
      <c r="J727" s="37"/>
    </row>
    <row r="728" spans="4:10">
      <c r="D728" s="34">
        <v>44946</v>
      </c>
      <c r="E728">
        <v>4.5113599999999998</v>
      </c>
      <c r="G728" s="35">
        <v>930.55</v>
      </c>
      <c r="H728" s="36"/>
      <c r="I728" s="36"/>
      <c r="J728" s="37"/>
    </row>
    <row r="729" spans="4:10">
      <c r="D729" s="34">
        <v>44945</v>
      </c>
      <c r="E729">
        <v>7.72173</v>
      </c>
      <c r="G729" s="35">
        <v>928.7</v>
      </c>
      <c r="H729" s="36"/>
      <c r="I729" s="36"/>
      <c r="J729" s="37"/>
    </row>
    <row r="730" spans="4:10">
      <c r="D730" s="34">
        <v>44944</v>
      </c>
      <c r="E730">
        <v>5.7309390000000002</v>
      </c>
      <c r="G730" s="35">
        <v>924</v>
      </c>
      <c r="H730" s="36"/>
      <c r="I730" s="36"/>
      <c r="J730" s="37"/>
    </row>
    <row r="731" spans="4:10">
      <c r="D731" s="34">
        <v>44943</v>
      </c>
      <c r="E731">
        <v>6.90496</v>
      </c>
      <c r="G731" s="35">
        <v>917.7</v>
      </c>
      <c r="H731" s="36"/>
      <c r="I731" s="36"/>
      <c r="J731" s="37"/>
    </row>
    <row r="732" spans="4:10">
      <c r="D732" s="34">
        <v>44942</v>
      </c>
      <c r="E732">
        <v>10.008273000000001</v>
      </c>
      <c r="G732" s="35">
        <v>913.15</v>
      </c>
      <c r="H732" s="36"/>
      <c r="I732" s="36"/>
      <c r="J732" s="37"/>
    </row>
    <row r="733" spans="4:10">
      <c r="D733" s="34">
        <v>44939</v>
      </c>
      <c r="E733">
        <v>9.0836079999999999</v>
      </c>
      <c r="G733" s="35">
        <v>934.15</v>
      </c>
      <c r="H733" s="36"/>
      <c r="I733" s="36"/>
      <c r="J733" s="37"/>
    </row>
    <row r="734" spans="4:10">
      <c r="D734" s="34">
        <v>44938</v>
      </c>
      <c r="E734">
        <v>8.6613749999999996</v>
      </c>
      <c r="G734" s="35">
        <v>935.55</v>
      </c>
      <c r="H734" s="36"/>
      <c r="I734" s="36"/>
      <c r="J734" s="37"/>
    </row>
    <row r="735" spans="4:10">
      <c r="D735" s="34">
        <v>44937</v>
      </c>
      <c r="E735">
        <v>7.1003550000000004</v>
      </c>
      <c r="G735" s="35">
        <v>949.75</v>
      </c>
      <c r="H735" s="36"/>
      <c r="I735" s="36"/>
      <c r="J735" s="37"/>
    </row>
    <row r="736" spans="4:10">
      <c r="D736" s="34">
        <v>44936</v>
      </c>
      <c r="E736">
        <v>7.1401500000000002</v>
      </c>
      <c r="G736" s="35">
        <v>952.15</v>
      </c>
      <c r="H736" s="36"/>
      <c r="I736" s="36"/>
      <c r="J736" s="37"/>
    </row>
    <row r="737" spans="4:10">
      <c r="D737" s="34">
        <v>44935</v>
      </c>
      <c r="E737">
        <v>7.025747</v>
      </c>
      <c r="G737" s="35">
        <v>958.75</v>
      </c>
      <c r="H737" s="36"/>
      <c r="I737" s="36"/>
      <c r="J737" s="37"/>
    </row>
    <row r="738" spans="4:10">
      <c r="D738" s="34">
        <v>44932</v>
      </c>
      <c r="E738">
        <v>5.7877830000000001</v>
      </c>
      <c r="G738" s="35">
        <v>939.9</v>
      </c>
      <c r="H738" s="36"/>
      <c r="I738" s="36"/>
      <c r="J738" s="37"/>
    </row>
    <row r="739" spans="4:10">
      <c r="D739" s="34">
        <v>44931</v>
      </c>
      <c r="E739">
        <v>6.9989800000000004</v>
      </c>
      <c r="G739" s="35">
        <v>949.55</v>
      </c>
      <c r="H739" s="36"/>
      <c r="I739" s="36"/>
      <c r="J739" s="37"/>
    </row>
    <row r="740" spans="4:10">
      <c r="D740" s="34">
        <v>44930</v>
      </c>
      <c r="E740">
        <v>9.0593920000000008</v>
      </c>
      <c r="G740" s="35">
        <v>957.45</v>
      </c>
      <c r="H740" s="36"/>
      <c r="I740" s="36"/>
      <c r="J740" s="37"/>
    </row>
    <row r="741" spans="4:10">
      <c r="D741" s="34">
        <v>44929</v>
      </c>
      <c r="E741">
        <v>6.9278190000000004</v>
      </c>
      <c r="G741" s="35">
        <v>962.3</v>
      </c>
      <c r="H741" s="36"/>
      <c r="I741" s="36"/>
      <c r="J741" s="37"/>
    </row>
    <row r="742" spans="4:10">
      <c r="D742" s="34">
        <v>44928</v>
      </c>
      <c r="E742">
        <v>3.4981979999999999</v>
      </c>
      <c r="G742" s="35">
        <v>941.6</v>
      </c>
      <c r="H742" s="36"/>
      <c r="I742" s="36"/>
      <c r="J742" s="37"/>
    </row>
    <row r="743" spans="4:10">
      <c r="D743" s="34">
        <v>44925</v>
      </c>
      <c r="E743">
        <v>3.7044489999999999</v>
      </c>
      <c r="G743" s="35">
        <v>933.75</v>
      </c>
      <c r="H743" s="36"/>
      <c r="I743" s="36"/>
      <c r="J743" s="37"/>
    </row>
    <row r="744" spans="4:10">
      <c r="D744" s="34">
        <v>44924</v>
      </c>
      <c r="E744">
        <v>12.204113</v>
      </c>
      <c r="G744" s="35">
        <v>934.55</v>
      </c>
      <c r="H744" s="36"/>
      <c r="I744" s="36"/>
      <c r="J744" s="37"/>
    </row>
    <row r="745" spans="4:10">
      <c r="D745" s="34">
        <v>44923</v>
      </c>
      <c r="E745">
        <v>5.9564959999999996</v>
      </c>
      <c r="G745" s="35">
        <v>924.7</v>
      </c>
      <c r="H745" s="36"/>
      <c r="I745" s="36"/>
      <c r="J745" s="37"/>
    </row>
    <row r="746" spans="4:10">
      <c r="D746" s="34">
        <v>44922</v>
      </c>
      <c r="E746">
        <v>3.3460830000000001</v>
      </c>
      <c r="G746" s="35">
        <v>932.2</v>
      </c>
      <c r="H746" s="36"/>
      <c r="I746" s="36"/>
      <c r="J746" s="37"/>
    </row>
    <row r="747" spans="4:10">
      <c r="D747" s="34">
        <v>44921</v>
      </c>
      <c r="E747">
        <v>4.7644399999999996</v>
      </c>
      <c r="G747" s="35">
        <v>928.7</v>
      </c>
      <c r="H747" s="36"/>
      <c r="I747" s="36"/>
      <c r="J747" s="37"/>
    </row>
    <row r="748" spans="4:10">
      <c r="D748" s="34">
        <v>44918</v>
      </c>
      <c r="E748">
        <v>6.3716949999999999</v>
      </c>
      <c r="G748" s="35">
        <v>906.6</v>
      </c>
      <c r="H748" s="36"/>
      <c r="I748" s="36"/>
      <c r="J748" s="37"/>
    </row>
    <row r="749" spans="4:10">
      <c r="D749" s="34">
        <v>44917</v>
      </c>
      <c r="E749">
        <v>9.2027169999999998</v>
      </c>
      <c r="G749" s="35">
        <v>919.55</v>
      </c>
      <c r="H749" s="36"/>
      <c r="I749" s="36"/>
      <c r="J749" s="37"/>
    </row>
    <row r="750" spans="4:10">
      <c r="D750" s="34">
        <v>44916</v>
      </c>
      <c r="E750">
        <v>8.3689599999999995</v>
      </c>
      <c r="G750" s="35">
        <v>932.3</v>
      </c>
      <c r="H750" s="36"/>
      <c r="I750" s="36"/>
      <c r="J750" s="37"/>
    </row>
    <row r="751" spans="4:10">
      <c r="D751" s="34">
        <v>44915</v>
      </c>
      <c r="E751">
        <v>9.5118179999999999</v>
      </c>
      <c r="G751" s="35">
        <v>949.75</v>
      </c>
      <c r="H751" s="36"/>
      <c r="I751" s="36"/>
      <c r="J751" s="37"/>
    </row>
    <row r="752" spans="4:10">
      <c r="D752" s="34">
        <v>44914</v>
      </c>
      <c r="E752">
        <v>4.8423360000000004</v>
      </c>
      <c r="G752" s="35">
        <v>946.2</v>
      </c>
      <c r="H752" s="36"/>
      <c r="I752" s="36"/>
      <c r="J752" s="37"/>
    </row>
    <row r="753" spans="4:10">
      <c r="D753" s="34">
        <v>44911</v>
      </c>
      <c r="E753">
        <v>6.9269280000000002</v>
      </c>
      <c r="G753" s="35">
        <v>935.1</v>
      </c>
      <c r="H753" s="36"/>
      <c r="I753" s="36"/>
      <c r="J753" s="37"/>
    </row>
    <row r="754" spans="4:10">
      <c r="D754" s="34">
        <v>44910</v>
      </c>
      <c r="E754">
        <v>7.3592610000000001</v>
      </c>
      <c r="G754" s="35">
        <v>938.15</v>
      </c>
      <c r="H754" s="36"/>
      <c r="I754" s="36"/>
      <c r="J754" s="37"/>
    </row>
    <row r="755" spans="4:10">
      <c r="D755" s="34">
        <v>44909</v>
      </c>
      <c r="E755">
        <v>8.5734790000000007</v>
      </c>
      <c r="G755" s="35">
        <v>942.4</v>
      </c>
      <c r="H755" s="36"/>
      <c r="I755" s="36"/>
      <c r="J755" s="37"/>
    </row>
    <row r="756" spans="4:10">
      <c r="D756" s="34">
        <v>44908</v>
      </c>
      <c r="E756">
        <v>8.1365590000000001</v>
      </c>
      <c r="G756" s="35">
        <v>944.6</v>
      </c>
      <c r="H756" s="36"/>
      <c r="I756" s="36"/>
      <c r="J756" s="37"/>
    </row>
    <row r="757" spans="4:10">
      <c r="D757" s="34">
        <v>44907</v>
      </c>
      <c r="E757">
        <v>7.6217879999999996</v>
      </c>
      <c r="G757" s="35">
        <v>938.65</v>
      </c>
      <c r="H757" s="36"/>
      <c r="I757" s="36"/>
      <c r="J757" s="37"/>
    </row>
    <row r="758" spans="4:10">
      <c r="D758" s="34">
        <v>44904</v>
      </c>
      <c r="E758">
        <v>8.0189810000000001</v>
      </c>
      <c r="G758" s="35">
        <v>933.7</v>
      </c>
      <c r="H758" s="36"/>
      <c r="I758" s="36"/>
      <c r="J758" s="37"/>
    </row>
    <row r="759" spans="4:10">
      <c r="D759" s="34">
        <v>44903</v>
      </c>
      <c r="E759">
        <v>17.466047</v>
      </c>
      <c r="G759" s="35">
        <v>939.35</v>
      </c>
      <c r="H759" s="36"/>
      <c r="I759" s="36"/>
      <c r="J759" s="37"/>
    </row>
    <row r="760" spans="4:10">
      <c r="D760" s="34">
        <v>44902</v>
      </c>
      <c r="E760">
        <v>9.1036560000000009</v>
      </c>
      <c r="G760" s="35">
        <v>914.65</v>
      </c>
      <c r="H760" s="36"/>
      <c r="I760" s="36"/>
      <c r="J760" s="37"/>
    </row>
    <row r="761" spans="4:10">
      <c r="D761" s="34">
        <v>44901</v>
      </c>
      <c r="E761">
        <v>5.3510989999999996</v>
      </c>
      <c r="G761" s="35">
        <v>904.65</v>
      </c>
      <c r="H761" s="36"/>
      <c r="I761" s="36"/>
      <c r="J761" s="37"/>
    </row>
    <row r="762" spans="4:10">
      <c r="D762" s="34">
        <v>44900</v>
      </c>
      <c r="E762">
        <v>5.0981639999999997</v>
      </c>
      <c r="G762" s="35">
        <v>899.2</v>
      </c>
      <c r="H762" s="36"/>
      <c r="I762" s="36"/>
      <c r="J762" s="37"/>
    </row>
    <row r="763" spans="4:10">
      <c r="D763" s="34">
        <v>44897</v>
      </c>
      <c r="E763">
        <v>7.9888510000000004</v>
      </c>
      <c r="G763" s="35">
        <v>905.15</v>
      </c>
      <c r="H763" s="36"/>
      <c r="I763" s="36"/>
      <c r="J763" s="37"/>
    </row>
    <row r="764" spans="4:10">
      <c r="D764" s="34">
        <v>44896</v>
      </c>
      <c r="E764">
        <v>7.0530999999999997</v>
      </c>
      <c r="G764" s="35">
        <v>903.85</v>
      </c>
      <c r="H764" s="36"/>
      <c r="I764" s="36"/>
      <c r="J764" s="37"/>
    </row>
    <row r="765" spans="4:10">
      <c r="D765" s="34">
        <v>44895</v>
      </c>
      <c r="E765">
        <v>10.452798</v>
      </c>
      <c r="G765" s="35">
        <v>901.25</v>
      </c>
      <c r="H765" s="36"/>
      <c r="I765" s="36"/>
      <c r="J765" s="37"/>
    </row>
    <row r="766" spans="4:10">
      <c r="D766" s="34">
        <v>44894</v>
      </c>
      <c r="E766">
        <v>5.6611580000000004</v>
      </c>
      <c r="G766" s="35">
        <v>892.55</v>
      </c>
      <c r="H766" s="36"/>
      <c r="I766" s="36"/>
      <c r="J766" s="37"/>
    </row>
    <row r="767" spans="4:10">
      <c r="D767" s="34">
        <v>44893</v>
      </c>
      <c r="E767">
        <v>7.9281470000000001</v>
      </c>
      <c r="G767" s="35">
        <v>891.7</v>
      </c>
      <c r="H767" s="36"/>
      <c r="I767" s="36"/>
      <c r="J767" s="37"/>
    </row>
    <row r="768" spans="4:10">
      <c r="D768" s="34">
        <v>44890</v>
      </c>
      <c r="E768">
        <v>7.6140470000000002</v>
      </c>
      <c r="G768" s="35">
        <v>887.75</v>
      </c>
      <c r="H768" s="36"/>
      <c r="I768" s="36"/>
      <c r="J768" s="37"/>
    </row>
    <row r="769" spans="4:10">
      <c r="D769" s="34">
        <v>44889</v>
      </c>
      <c r="E769">
        <v>4.9287780000000003</v>
      </c>
      <c r="G769" s="35">
        <v>878.55</v>
      </c>
      <c r="H769" s="36"/>
      <c r="I769" s="36"/>
      <c r="J769" s="37"/>
    </row>
    <row r="770" spans="4:10">
      <c r="D770" s="34">
        <v>44888</v>
      </c>
      <c r="E770">
        <v>5.8614170000000003</v>
      </c>
      <c r="G770" s="35">
        <v>874.7</v>
      </c>
      <c r="H770" s="36"/>
      <c r="I770" s="36"/>
      <c r="J770" s="37"/>
    </row>
    <row r="771" spans="4:10">
      <c r="D771" s="34">
        <v>44887</v>
      </c>
      <c r="E771">
        <v>5.5352329999999998</v>
      </c>
      <c r="G771" s="35">
        <v>870.05</v>
      </c>
      <c r="H771" s="36"/>
      <c r="I771" s="36"/>
      <c r="J771" s="37"/>
    </row>
    <row r="772" spans="4:10">
      <c r="D772" s="34">
        <v>44886</v>
      </c>
      <c r="E772">
        <v>7.2092070000000001</v>
      </c>
      <c r="G772" s="35">
        <v>870.05</v>
      </c>
      <c r="H772" s="36"/>
      <c r="I772" s="36"/>
      <c r="J772" s="37"/>
    </row>
    <row r="773" spans="4:10">
      <c r="D773" s="34">
        <v>44883</v>
      </c>
      <c r="E773">
        <v>7.0653040000000003</v>
      </c>
      <c r="G773" s="35">
        <v>859.2</v>
      </c>
      <c r="H773" s="36"/>
      <c r="I773" s="36"/>
      <c r="J773" s="37"/>
    </row>
    <row r="774" spans="4:10">
      <c r="D774" s="34">
        <v>44882</v>
      </c>
      <c r="E774">
        <v>4.9096070000000003</v>
      </c>
      <c r="G774" s="35">
        <v>858.2</v>
      </c>
      <c r="H774" s="36"/>
      <c r="I774" s="36"/>
      <c r="J774" s="37"/>
    </row>
    <row r="775" spans="4:10">
      <c r="D775" s="34">
        <v>44881</v>
      </c>
      <c r="E775">
        <v>6.5218540000000003</v>
      </c>
      <c r="G775" s="35">
        <v>855.4</v>
      </c>
      <c r="H775" s="36"/>
      <c r="I775" s="36"/>
      <c r="J775" s="37"/>
    </row>
    <row r="776" spans="4:10">
      <c r="D776" s="34">
        <v>44880</v>
      </c>
      <c r="E776">
        <v>7.1247670000000003</v>
      </c>
      <c r="G776" s="35">
        <v>858.65</v>
      </c>
      <c r="H776" s="36"/>
      <c r="I776" s="36"/>
      <c r="J776" s="37"/>
    </row>
    <row r="777" spans="4:10">
      <c r="D777" s="34">
        <v>44879</v>
      </c>
      <c r="E777">
        <v>6.9853059999999996</v>
      </c>
      <c r="G777" s="35">
        <v>851</v>
      </c>
      <c r="H777" s="36"/>
      <c r="I777" s="36"/>
      <c r="J777" s="37"/>
    </row>
    <row r="778" spans="4:10">
      <c r="D778" s="34">
        <v>44876</v>
      </c>
      <c r="E778">
        <v>19.329819000000001</v>
      </c>
      <c r="G778" s="35">
        <v>850.7</v>
      </c>
      <c r="H778" s="36"/>
      <c r="I778" s="36"/>
      <c r="J778" s="37"/>
    </row>
    <row r="779" spans="4:10">
      <c r="D779" s="34">
        <v>44875</v>
      </c>
      <c r="E779">
        <v>18.956575000000001</v>
      </c>
      <c r="G779" s="35">
        <v>843.7</v>
      </c>
      <c r="H779" s="36"/>
      <c r="I779" s="36"/>
      <c r="J779" s="37"/>
    </row>
    <row r="780" spans="4:10">
      <c r="D780" s="34">
        <v>44874</v>
      </c>
      <c r="E780">
        <v>10.190208999999999</v>
      </c>
      <c r="G780" s="35">
        <v>873.7</v>
      </c>
      <c r="H780" s="36"/>
      <c r="I780" s="36"/>
      <c r="J780" s="37"/>
    </row>
    <row r="781" spans="4:10">
      <c r="D781" s="34">
        <v>44872</v>
      </c>
      <c r="E781">
        <v>9.9312609999999992</v>
      </c>
      <c r="G781" s="35">
        <v>872.95</v>
      </c>
      <c r="H781" s="36"/>
      <c r="I781" s="36"/>
      <c r="J781" s="37"/>
    </row>
    <row r="782" spans="4:10">
      <c r="D782" s="34">
        <v>44869</v>
      </c>
      <c r="E782">
        <v>7.3238789999999998</v>
      </c>
      <c r="G782" s="35">
        <v>868.1</v>
      </c>
      <c r="H782" s="36"/>
      <c r="I782" s="36"/>
      <c r="J782" s="37"/>
    </row>
    <row r="783" spans="4:10">
      <c r="D783" s="34">
        <v>44868</v>
      </c>
      <c r="E783">
        <v>10.185978</v>
      </c>
      <c r="G783" s="35">
        <v>864.05</v>
      </c>
      <c r="H783" s="36"/>
      <c r="I783" s="36"/>
      <c r="J783" s="37"/>
    </row>
    <row r="784" spans="4:10">
      <c r="D784" s="34">
        <v>44867</v>
      </c>
      <c r="E784">
        <v>11.02914</v>
      </c>
      <c r="G784" s="35">
        <v>863.55</v>
      </c>
      <c r="H784" s="36"/>
      <c r="I784" s="36"/>
      <c r="J784" s="37"/>
    </row>
    <row r="785" spans="4:10">
      <c r="D785" s="34">
        <v>44866</v>
      </c>
      <c r="E785">
        <v>29.191921000000001</v>
      </c>
      <c r="G785" s="35">
        <v>871.75</v>
      </c>
      <c r="H785" s="36"/>
      <c r="I785" s="36"/>
      <c r="J785" s="37"/>
    </row>
    <row r="786" spans="4:10">
      <c r="D786" s="34">
        <v>44865</v>
      </c>
      <c r="E786">
        <v>9.0387769999999996</v>
      </c>
      <c r="G786" s="35">
        <v>906</v>
      </c>
      <c r="H786" s="36"/>
      <c r="I786" s="36"/>
      <c r="J786" s="37"/>
    </row>
    <row r="787" spans="4:10">
      <c r="D787" s="34">
        <v>44862</v>
      </c>
      <c r="E787">
        <v>7.3202069999999999</v>
      </c>
      <c r="G787" s="35">
        <v>903.05</v>
      </c>
      <c r="H787" s="36"/>
      <c r="I787" s="36"/>
      <c r="J787" s="37"/>
    </row>
    <row r="788" spans="4:10">
      <c r="D788" s="34">
        <v>44861</v>
      </c>
      <c r="E788">
        <v>11.967044</v>
      </c>
      <c r="G788" s="35">
        <v>915.15</v>
      </c>
      <c r="H788" s="36"/>
      <c r="I788" s="36"/>
      <c r="J788" s="37"/>
    </row>
    <row r="789" spans="4:10">
      <c r="D789" s="34">
        <v>44859</v>
      </c>
      <c r="E789">
        <v>13.187308</v>
      </c>
      <c r="G789" s="35">
        <v>902.85</v>
      </c>
      <c r="H789" s="36"/>
      <c r="I789" s="36"/>
      <c r="J789" s="37"/>
    </row>
    <row r="790" spans="4:10">
      <c r="D790" s="34">
        <v>44858</v>
      </c>
      <c r="E790">
        <v>3.0853069999999998</v>
      </c>
      <c r="G790" s="35">
        <v>909.45</v>
      </c>
      <c r="H790" s="36"/>
      <c r="I790" s="36"/>
      <c r="J790" s="37"/>
    </row>
    <row r="791" spans="4:10">
      <c r="D791" s="34">
        <v>44855</v>
      </c>
      <c r="E791">
        <v>58.057724</v>
      </c>
      <c r="G791" s="35">
        <v>900.4</v>
      </c>
      <c r="H791" s="36"/>
      <c r="I791" s="36"/>
      <c r="J791" s="37"/>
    </row>
    <row r="792" spans="4:10">
      <c r="D792" s="34">
        <v>44854</v>
      </c>
      <c r="E792">
        <v>11.813817</v>
      </c>
      <c r="G792" s="35">
        <v>825.85</v>
      </c>
      <c r="H792" s="36"/>
      <c r="I792" s="36"/>
      <c r="J792" s="37"/>
    </row>
    <row r="793" spans="4:10">
      <c r="D793" s="34">
        <v>44853</v>
      </c>
      <c r="E793">
        <v>10.868663</v>
      </c>
      <c r="G793" s="35">
        <v>829.85</v>
      </c>
      <c r="H793" s="36"/>
      <c r="I793" s="36"/>
      <c r="J793" s="37"/>
    </row>
    <row r="794" spans="4:10">
      <c r="D794" s="34">
        <v>44852</v>
      </c>
      <c r="E794">
        <v>8.4708819999999996</v>
      </c>
      <c r="G794" s="35">
        <v>816.35</v>
      </c>
      <c r="H794" s="36"/>
      <c r="I794" s="36"/>
      <c r="J794" s="37"/>
    </row>
    <row r="795" spans="4:10">
      <c r="D795" s="34">
        <v>44851</v>
      </c>
      <c r="E795">
        <v>9.4638270000000002</v>
      </c>
      <c r="G795" s="35">
        <v>814.15</v>
      </c>
      <c r="H795" s="36"/>
      <c r="I795" s="36"/>
      <c r="J795" s="37"/>
    </row>
    <row r="796" spans="4:10">
      <c r="D796" s="34">
        <v>44848</v>
      </c>
      <c r="E796">
        <v>8.2206449999999993</v>
      </c>
      <c r="G796" s="35">
        <v>800.5</v>
      </c>
      <c r="H796" s="36"/>
      <c r="I796" s="36"/>
      <c r="J796" s="37"/>
    </row>
    <row r="797" spans="4:10">
      <c r="D797" s="34">
        <v>44847</v>
      </c>
      <c r="E797">
        <v>13.024910999999999</v>
      </c>
      <c r="G797" s="35">
        <v>802</v>
      </c>
      <c r="H797" s="36"/>
      <c r="I797" s="36"/>
      <c r="J797" s="37"/>
    </row>
    <row r="798" spans="4:10">
      <c r="D798" s="34">
        <v>44846</v>
      </c>
      <c r="E798">
        <v>21.228017999999999</v>
      </c>
      <c r="G798" s="35">
        <v>808.7</v>
      </c>
      <c r="H798" s="36"/>
      <c r="I798" s="36"/>
      <c r="J798" s="37"/>
    </row>
    <row r="799" spans="4:10">
      <c r="D799" s="34">
        <v>44845</v>
      </c>
      <c r="E799">
        <v>15.953495</v>
      </c>
      <c r="G799" s="35">
        <v>785.55</v>
      </c>
      <c r="H799" s="36"/>
      <c r="I799" s="36"/>
      <c r="J799" s="37"/>
    </row>
    <row r="800" spans="4:10">
      <c r="D800" s="34">
        <v>44844</v>
      </c>
      <c r="E800">
        <v>14.106654000000001</v>
      </c>
      <c r="G800" s="35">
        <v>776.85</v>
      </c>
      <c r="H800" s="36"/>
      <c r="I800" s="36"/>
      <c r="J800" s="37"/>
    </row>
    <row r="801" spans="4:10">
      <c r="D801" s="34">
        <v>44841</v>
      </c>
      <c r="E801">
        <v>7.50054</v>
      </c>
      <c r="G801" s="35">
        <v>755.7</v>
      </c>
      <c r="H801" s="36"/>
      <c r="I801" s="36"/>
      <c r="J801" s="37"/>
    </row>
    <row r="802" spans="4:10">
      <c r="D802" s="34">
        <v>44840</v>
      </c>
      <c r="E802">
        <v>9.3764330000000005</v>
      </c>
      <c r="G802" s="35">
        <v>755.1</v>
      </c>
      <c r="H802" s="36"/>
      <c r="I802" s="36"/>
      <c r="J802" s="37"/>
    </row>
    <row r="803" spans="4:10">
      <c r="D803" s="34">
        <v>44838</v>
      </c>
      <c r="E803">
        <v>5.4389339999999997</v>
      </c>
      <c r="G803" s="35">
        <v>742.8</v>
      </c>
      <c r="H803" s="36"/>
      <c r="I803" s="36"/>
      <c r="J803" s="37"/>
    </row>
    <row r="804" spans="4:10">
      <c r="D804" s="34">
        <v>44837</v>
      </c>
      <c r="E804">
        <v>6.4056449999999998</v>
      </c>
      <c r="G804" s="35">
        <v>722.75</v>
      </c>
      <c r="H804" s="36"/>
      <c r="I804" s="36"/>
      <c r="J804" s="37"/>
    </row>
    <row r="805" spans="4:10">
      <c r="D805" s="34">
        <v>44834</v>
      </c>
      <c r="E805">
        <v>9.5360169999999993</v>
      </c>
      <c r="G805" s="35">
        <v>733.2</v>
      </c>
      <c r="H805" s="36"/>
      <c r="I805" s="36"/>
      <c r="J805" s="37"/>
    </row>
    <row r="806" spans="4:10">
      <c r="D806" s="34">
        <v>44833</v>
      </c>
      <c r="E806">
        <v>12.090980999999999</v>
      </c>
      <c r="G806" s="35">
        <v>719</v>
      </c>
      <c r="H806" s="36"/>
      <c r="I806" s="36"/>
      <c r="J806" s="37"/>
    </row>
    <row r="807" spans="4:10">
      <c r="D807" s="34">
        <v>44832</v>
      </c>
      <c r="E807">
        <v>13.170667999999999</v>
      </c>
      <c r="G807" s="35">
        <v>716.45</v>
      </c>
      <c r="H807" s="36"/>
      <c r="I807" s="36"/>
      <c r="J807" s="37"/>
    </row>
    <row r="808" spans="4:10">
      <c r="D808" s="34">
        <v>44831</v>
      </c>
      <c r="E808">
        <v>11.358306000000001</v>
      </c>
      <c r="G808" s="35">
        <v>737.5</v>
      </c>
      <c r="H808" s="36"/>
      <c r="I808" s="36"/>
      <c r="J808" s="37"/>
    </row>
    <row r="809" spans="4:10">
      <c r="D809" s="34">
        <v>44830</v>
      </c>
      <c r="E809">
        <v>11.090327</v>
      </c>
      <c r="G809" s="35">
        <v>742.6</v>
      </c>
      <c r="H809" s="36"/>
      <c r="I809" s="36"/>
      <c r="J809" s="37"/>
    </row>
    <row r="810" spans="4:10">
      <c r="D810" s="34">
        <v>44827</v>
      </c>
      <c r="E810">
        <v>10.278805</v>
      </c>
      <c r="G810" s="35">
        <v>768.6</v>
      </c>
      <c r="H810" s="36"/>
      <c r="I810" s="36"/>
      <c r="J810" s="37"/>
    </row>
    <row r="811" spans="4:10">
      <c r="D811" s="34">
        <v>44826</v>
      </c>
      <c r="E811">
        <v>7.8042749999999996</v>
      </c>
      <c r="G811" s="35">
        <v>789.2</v>
      </c>
      <c r="H811" s="36"/>
      <c r="I811" s="36"/>
      <c r="J811" s="37"/>
    </row>
    <row r="812" spans="4:10">
      <c r="D812" s="34">
        <v>44825</v>
      </c>
      <c r="E812">
        <v>6.5670840000000004</v>
      </c>
      <c r="G812" s="35">
        <v>806.55</v>
      </c>
      <c r="H812" s="36"/>
      <c r="I812" s="36"/>
      <c r="J812" s="37"/>
    </row>
    <row r="813" spans="4:10">
      <c r="D813" s="34">
        <v>44824</v>
      </c>
      <c r="E813">
        <v>8.2740790000000004</v>
      </c>
      <c r="G813" s="35">
        <v>812.75</v>
      </c>
      <c r="H813" s="36"/>
      <c r="I813" s="36"/>
      <c r="J813" s="37"/>
    </row>
    <row r="814" spans="4:10">
      <c r="D814" s="34">
        <v>44823</v>
      </c>
      <c r="E814">
        <v>11.427799</v>
      </c>
      <c r="G814" s="35">
        <v>798.1</v>
      </c>
      <c r="H814" s="36"/>
      <c r="I814" s="36"/>
      <c r="J814" s="37"/>
    </row>
    <row r="815" spans="4:10">
      <c r="D815" s="34">
        <v>44820</v>
      </c>
      <c r="E815">
        <v>11.467351000000001</v>
      </c>
      <c r="G815" s="35">
        <v>789.3</v>
      </c>
      <c r="H815" s="36"/>
      <c r="I815" s="36"/>
      <c r="J815" s="37"/>
    </row>
    <row r="816" spans="4:10">
      <c r="D816" s="34">
        <v>44819</v>
      </c>
      <c r="E816">
        <v>5.996899</v>
      </c>
      <c r="G816" s="35">
        <v>790</v>
      </c>
      <c r="H816" s="36"/>
      <c r="I816" s="36"/>
      <c r="J816" s="37"/>
    </row>
    <row r="817" spans="4:10">
      <c r="D817" s="34">
        <v>44818</v>
      </c>
      <c r="E817">
        <v>10.494713000000001</v>
      </c>
      <c r="G817" s="35">
        <v>803.05</v>
      </c>
      <c r="H817" s="36"/>
      <c r="I817" s="36"/>
      <c r="J817" s="37"/>
    </row>
    <row r="818" spans="4:10">
      <c r="D818" s="34">
        <v>44817</v>
      </c>
      <c r="E818">
        <v>9.8875159999999997</v>
      </c>
      <c r="G818" s="35">
        <v>805.55</v>
      </c>
      <c r="H818" s="36"/>
      <c r="I818" s="36"/>
      <c r="J818" s="37"/>
    </row>
    <row r="819" spans="4:10">
      <c r="D819" s="34">
        <v>44816</v>
      </c>
      <c r="E819">
        <v>15.521649</v>
      </c>
      <c r="G819" s="35">
        <v>801</v>
      </c>
      <c r="H819" s="36"/>
      <c r="I819" s="36"/>
      <c r="J819" s="37"/>
    </row>
    <row r="820" spans="4:10">
      <c r="D820" s="34">
        <v>44813</v>
      </c>
      <c r="E820">
        <v>8.7323020000000007</v>
      </c>
      <c r="G820" s="35">
        <v>784.85</v>
      </c>
      <c r="H820" s="36"/>
      <c r="I820" s="36"/>
      <c r="J820" s="37"/>
    </row>
    <row r="821" spans="4:10">
      <c r="D821" s="34">
        <v>44812</v>
      </c>
      <c r="E821">
        <v>13.41079</v>
      </c>
      <c r="G821" s="35">
        <v>779.75</v>
      </c>
      <c r="H821" s="36"/>
      <c r="I821" s="36"/>
      <c r="J821" s="37"/>
    </row>
    <row r="822" spans="4:10">
      <c r="D822" s="34">
        <v>44811</v>
      </c>
      <c r="E822">
        <v>10.156459999999999</v>
      </c>
      <c r="G822" s="35">
        <v>755.4</v>
      </c>
      <c r="H822" s="36"/>
      <c r="I822" s="36"/>
      <c r="J822" s="37"/>
    </row>
    <row r="823" spans="4:10">
      <c r="D823" s="34">
        <v>44810</v>
      </c>
      <c r="E823">
        <v>7.6061810000000003</v>
      </c>
      <c r="G823" s="35">
        <v>750</v>
      </c>
      <c r="H823" s="36"/>
      <c r="I823" s="36"/>
      <c r="J823" s="37"/>
    </row>
    <row r="824" spans="4:10">
      <c r="D824" s="34">
        <v>44809</v>
      </c>
      <c r="E824">
        <v>5.8940549999999998</v>
      </c>
      <c r="G824" s="35">
        <v>756.1</v>
      </c>
      <c r="H824" s="36"/>
      <c r="I824" s="36"/>
      <c r="J824" s="37"/>
    </row>
    <row r="825" spans="4:10">
      <c r="D825" s="34">
        <v>44806</v>
      </c>
      <c r="E825">
        <v>7.7678120000000002</v>
      </c>
      <c r="G825" s="35">
        <v>750.2</v>
      </c>
      <c r="H825" s="36"/>
      <c r="I825" s="36"/>
      <c r="J825" s="37"/>
    </row>
    <row r="826" spans="4:10">
      <c r="D826" s="34">
        <v>44805</v>
      </c>
      <c r="E826">
        <v>9.3538049999999995</v>
      </c>
      <c r="G826" s="35">
        <v>744.15</v>
      </c>
      <c r="H826" s="36"/>
      <c r="I826" s="36"/>
      <c r="J826" s="37"/>
    </row>
    <row r="827" spans="4:10">
      <c r="D827" s="34">
        <v>44803</v>
      </c>
      <c r="E827">
        <v>9.1932700000000001</v>
      </c>
      <c r="G827" s="35">
        <v>751.5</v>
      </c>
      <c r="H827" s="36"/>
      <c r="I827" s="36"/>
      <c r="J827" s="37"/>
    </row>
    <row r="828" spans="4:10">
      <c r="D828" s="34">
        <v>44802</v>
      </c>
      <c r="E828">
        <v>5.9041459999999999</v>
      </c>
      <c r="G828" s="35">
        <v>728.7</v>
      </c>
      <c r="H828" s="36"/>
      <c r="I828" s="36"/>
      <c r="J828" s="37"/>
    </row>
    <row r="829" spans="4:10">
      <c r="D829" s="34">
        <v>44799</v>
      </c>
      <c r="E829">
        <v>4.6137129999999997</v>
      </c>
      <c r="G829" s="35">
        <v>744.9</v>
      </c>
      <c r="H829" s="36"/>
      <c r="I829" s="36"/>
      <c r="J829" s="37"/>
    </row>
    <row r="830" spans="4:10">
      <c r="D830" s="34">
        <v>44798</v>
      </c>
      <c r="E830">
        <v>6.3208900000000003</v>
      </c>
      <c r="G830" s="35">
        <v>743.35</v>
      </c>
      <c r="H830" s="36"/>
      <c r="I830" s="36"/>
      <c r="J830" s="37"/>
    </row>
    <row r="831" spans="4:10">
      <c r="D831" s="34">
        <v>44797</v>
      </c>
      <c r="E831">
        <v>6.87582</v>
      </c>
      <c r="G831" s="35">
        <v>750.15</v>
      </c>
      <c r="H831" s="36"/>
      <c r="I831" s="36"/>
      <c r="J831" s="37"/>
    </row>
    <row r="832" spans="4:10">
      <c r="D832" s="34">
        <v>44796</v>
      </c>
      <c r="E832">
        <v>6.5946340000000001</v>
      </c>
      <c r="G832" s="35">
        <v>747.05</v>
      </c>
      <c r="H832" s="36"/>
      <c r="I832" s="36"/>
      <c r="J832" s="37"/>
    </row>
    <row r="833" spans="4:10">
      <c r="D833" s="34">
        <v>44795</v>
      </c>
      <c r="E833">
        <v>4.9943109999999997</v>
      </c>
      <c r="G833" s="35">
        <v>741.85</v>
      </c>
      <c r="H833" s="36"/>
      <c r="I833" s="36"/>
      <c r="J833" s="37"/>
    </row>
    <row r="834" spans="4:10">
      <c r="D834" s="34">
        <v>44792</v>
      </c>
      <c r="E834">
        <v>7.5532700000000004</v>
      </c>
      <c r="G834" s="35">
        <v>757.5</v>
      </c>
      <c r="H834" s="36"/>
      <c r="I834" s="36"/>
      <c r="J834" s="37"/>
    </row>
    <row r="835" spans="4:10">
      <c r="D835" s="34">
        <v>44791</v>
      </c>
      <c r="E835">
        <v>9.4499239999999993</v>
      </c>
      <c r="G835" s="35">
        <v>765.05</v>
      </c>
      <c r="H835" s="36"/>
      <c r="I835" s="36"/>
      <c r="J835" s="37"/>
    </row>
    <row r="836" spans="4:10">
      <c r="D836" s="34">
        <v>44790</v>
      </c>
      <c r="E836">
        <v>7.6743899999999998</v>
      </c>
      <c r="G836" s="35">
        <v>772.1</v>
      </c>
      <c r="H836" s="36"/>
      <c r="I836" s="36"/>
      <c r="J836" s="37"/>
    </row>
    <row r="837" spans="4:10">
      <c r="D837" s="34">
        <v>44789</v>
      </c>
      <c r="E837">
        <v>7.0514979999999996</v>
      </c>
      <c r="G837" s="35">
        <v>764.65</v>
      </c>
      <c r="H837" s="36"/>
      <c r="I837" s="36"/>
      <c r="J837" s="37"/>
    </row>
    <row r="838" spans="4:10">
      <c r="D838" s="34">
        <v>44785</v>
      </c>
      <c r="E838">
        <v>4.6143409999999996</v>
      </c>
      <c r="G838" s="35">
        <v>760.55</v>
      </c>
      <c r="H838" s="36"/>
      <c r="I838" s="36"/>
      <c r="J838" s="37"/>
    </row>
    <row r="839" spans="4:10">
      <c r="D839" s="34">
        <v>44784</v>
      </c>
      <c r="E839">
        <v>12.384073000000001</v>
      </c>
      <c r="G839" s="35">
        <v>758.85</v>
      </c>
      <c r="H839" s="36"/>
      <c r="I839" s="36"/>
      <c r="J839" s="37"/>
    </row>
    <row r="840" spans="4:10">
      <c r="D840" s="34">
        <v>44783</v>
      </c>
      <c r="E840">
        <v>9.0695409999999992</v>
      </c>
      <c r="G840" s="35">
        <v>739</v>
      </c>
      <c r="H840" s="36"/>
      <c r="I840" s="36"/>
      <c r="J840" s="37"/>
    </row>
    <row r="841" spans="4:10">
      <c r="D841" s="34">
        <v>44781</v>
      </c>
      <c r="E841">
        <v>8.1918699999999998</v>
      </c>
      <c r="G841" s="35">
        <v>745.55</v>
      </c>
      <c r="H841" s="36"/>
      <c r="I841" s="36"/>
      <c r="J841" s="37"/>
    </row>
    <row r="842" spans="4:10">
      <c r="D842" s="34">
        <v>44778</v>
      </c>
      <c r="E842">
        <v>4.583196</v>
      </c>
      <c r="G842" s="35">
        <v>728.5</v>
      </c>
      <c r="H842" s="36"/>
      <c r="I842" s="36"/>
      <c r="J842" s="37"/>
    </row>
    <row r="843" spans="4:10">
      <c r="D843" s="34">
        <v>44777</v>
      </c>
      <c r="E843">
        <v>7.4666350000000001</v>
      </c>
      <c r="G843" s="35">
        <v>721.6</v>
      </c>
      <c r="H843" s="36"/>
      <c r="I843" s="36"/>
      <c r="J843" s="37"/>
    </row>
    <row r="844" spans="4:10">
      <c r="D844" s="34">
        <v>44776</v>
      </c>
      <c r="E844">
        <v>9.4587610000000009</v>
      </c>
      <c r="G844" s="35">
        <v>730.5</v>
      </c>
      <c r="H844" s="36"/>
      <c r="I844" s="36"/>
      <c r="J844" s="37"/>
    </row>
    <row r="845" spans="4:10">
      <c r="D845" s="34">
        <v>44775</v>
      </c>
      <c r="E845">
        <v>7.2756259999999999</v>
      </c>
      <c r="G845" s="35">
        <v>730.45</v>
      </c>
      <c r="H845" s="36"/>
      <c r="I845" s="36"/>
      <c r="J845" s="37"/>
    </row>
    <row r="846" spans="4:10">
      <c r="D846" s="34">
        <v>44774</v>
      </c>
      <c r="E846">
        <v>5.4931049999999999</v>
      </c>
      <c r="G846" s="35">
        <v>730.8</v>
      </c>
      <c r="H846" s="36"/>
      <c r="I846" s="36"/>
      <c r="J846" s="37"/>
    </row>
    <row r="847" spans="4:10">
      <c r="D847" s="34">
        <v>44771</v>
      </c>
      <c r="E847">
        <v>6.624854</v>
      </c>
      <c r="G847" s="35">
        <v>724.75</v>
      </c>
      <c r="H847" s="36"/>
      <c r="I847" s="36"/>
      <c r="J847" s="37"/>
    </row>
    <row r="848" spans="4:10">
      <c r="D848" s="34">
        <v>44770</v>
      </c>
      <c r="E848">
        <v>6.9648380000000003</v>
      </c>
      <c r="G848" s="35">
        <v>725.9</v>
      </c>
      <c r="H848" s="36"/>
      <c r="I848" s="36"/>
      <c r="J848" s="37"/>
    </row>
    <row r="849" spans="4:22">
      <c r="D849" s="34">
        <v>44769</v>
      </c>
      <c r="E849">
        <v>6.1068800000000003</v>
      </c>
      <c r="G849" s="35">
        <v>718.95</v>
      </c>
      <c r="H849" s="36"/>
      <c r="I849" s="36"/>
      <c r="J849" s="37"/>
    </row>
    <row r="850" spans="4:22">
      <c r="D850" s="34">
        <v>44768</v>
      </c>
      <c r="E850">
        <v>14.135744000000001</v>
      </c>
      <c r="G850" s="35">
        <v>706.45</v>
      </c>
      <c r="H850" s="36"/>
      <c r="I850" s="36"/>
      <c r="J850" s="37"/>
    </row>
    <row r="851" spans="4:22">
      <c r="D851" s="34">
        <v>44767</v>
      </c>
      <c r="E851">
        <v>6.2304110000000001</v>
      </c>
      <c r="G851" s="35">
        <v>727.35</v>
      </c>
      <c r="H851" s="36"/>
      <c r="I851" s="36"/>
      <c r="J851" s="37"/>
      <c r="U851">
        <v>10000000</v>
      </c>
    </row>
    <row r="852" spans="4:22">
      <c r="D852" s="34">
        <v>44764</v>
      </c>
      <c r="E852">
        <v>9.7134900000000002</v>
      </c>
      <c r="G852" s="35">
        <v>730.75</v>
      </c>
      <c r="H852" s="36"/>
      <c r="I852" s="36"/>
      <c r="J852" s="37"/>
      <c r="V852">
        <v>100</v>
      </c>
    </row>
    <row r="853" spans="4:22">
      <c r="D853" s="34">
        <v>44763</v>
      </c>
      <c r="E853">
        <v>8.0365149999999996</v>
      </c>
      <c r="G853" s="35">
        <v>715.55</v>
      </c>
      <c r="H853" s="36"/>
      <c r="I853" s="36"/>
      <c r="J853" s="37"/>
      <c r="U853">
        <v>1225</v>
      </c>
    </row>
    <row r="854" spans="4:22">
      <c r="D854" s="34">
        <v>44762</v>
      </c>
      <c r="E854">
        <v>11.620331</v>
      </c>
      <c r="G854" s="35">
        <v>705.7</v>
      </c>
      <c r="H854" s="36"/>
      <c r="I854" s="36"/>
      <c r="J854" s="37"/>
    </row>
    <row r="855" spans="4:22" ht="15" thickBot="1">
      <c r="D855" s="34">
        <v>44761</v>
      </c>
      <c r="E855">
        <v>10.171314000000001</v>
      </c>
      <c r="G855" s="35">
        <v>700.6</v>
      </c>
      <c r="H855" s="36"/>
      <c r="I855" s="36"/>
      <c r="J855" s="37"/>
    </row>
    <row r="856" spans="4:22" ht="15" thickBot="1">
      <c r="D856" s="34">
        <v>44760</v>
      </c>
      <c r="E856">
        <v>12.464664000000001</v>
      </c>
      <c r="G856" s="35">
        <v>684.5</v>
      </c>
      <c r="H856" s="36"/>
      <c r="I856" s="36"/>
      <c r="J856" s="37"/>
      <c r="N856" s="45"/>
      <c r="O856" s="46"/>
      <c r="P856" s="46"/>
      <c r="Q856" s="50"/>
      <c r="S856" s="52" t="s">
        <v>121</v>
      </c>
      <c r="T856" s="53" t="s">
        <v>128</v>
      </c>
      <c r="U856" s="53" t="s">
        <v>127</v>
      </c>
      <c r="V856" s="53" t="s">
        <v>129</v>
      </c>
    </row>
    <row r="857" spans="4:22" ht="15" thickBot="1">
      <c r="D857" s="34">
        <v>44757</v>
      </c>
      <c r="E857">
        <v>6.0150569999999997</v>
      </c>
      <c r="G857" s="35">
        <v>662.2</v>
      </c>
      <c r="H857" s="36"/>
      <c r="I857" s="36"/>
      <c r="J857" s="37"/>
      <c r="N857" s="47"/>
      <c r="O857" s="48"/>
      <c r="P857" s="49"/>
      <c r="Q857" s="51"/>
      <c r="S857" s="52" t="s">
        <v>122</v>
      </c>
      <c r="T857" s="40">
        <v>24.486064500000001</v>
      </c>
      <c r="U857" s="30">
        <v>8.1600000000000006E-2</v>
      </c>
      <c r="V857" s="42">
        <f>U853*$T$857</f>
        <v>29995.429012500001</v>
      </c>
    </row>
    <row r="858" spans="4:22" ht="15" thickBot="1">
      <c r="D858" s="34">
        <v>44756</v>
      </c>
      <c r="E858">
        <v>8.0263109999999998</v>
      </c>
      <c r="G858" s="35">
        <v>668.25</v>
      </c>
      <c r="H858" s="36"/>
      <c r="I858" s="36"/>
      <c r="J858" s="37"/>
      <c r="N858" s="47"/>
      <c r="O858" s="48"/>
      <c r="P858" s="49"/>
      <c r="Q858" s="51"/>
      <c r="S858" s="52" t="s">
        <v>132</v>
      </c>
      <c r="T858" s="40">
        <v>21.130237300000001</v>
      </c>
      <c r="U858" s="30">
        <v>7.0400000000000004E-2</v>
      </c>
      <c r="V858" s="42">
        <f>U853*T858</f>
        <v>25884.540692500002</v>
      </c>
    </row>
    <row r="859" spans="4:22" ht="15" thickBot="1">
      <c r="D859" s="34">
        <v>44755</v>
      </c>
      <c r="E859">
        <v>9.6146740000000008</v>
      </c>
      <c r="G859" s="35">
        <v>679.9</v>
      </c>
      <c r="H859" s="36"/>
      <c r="I859" s="36"/>
      <c r="J859" s="37"/>
      <c r="N859" s="47"/>
      <c r="O859" s="48"/>
      <c r="P859" s="49"/>
      <c r="Q859" s="51"/>
      <c r="S859" s="52" t="s">
        <v>133</v>
      </c>
      <c r="T859" s="40">
        <v>15.797283</v>
      </c>
      <c r="U859" s="30">
        <v>5.2600000000000001E-2</v>
      </c>
      <c r="V859" s="42">
        <f>U853*T859</f>
        <v>19351.671675000001</v>
      </c>
    </row>
    <row r="860" spans="4:22" ht="15" thickBot="1">
      <c r="D860" s="34">
        <v>44754</v>
      </c>
      <c r="E860">
        <v>6.4468100000000002</v>
      </c>
      <c r="G860" s="35">
        <v>676.2</v>
      </c>
      <c r="H860" s="36"/>
      <c r="I860" s="36"/>
      <c r="J860" s="37"/>
      <c r="N860" s="47"/>
      <c r="O860" s="48"/>
      <c r="P860" s="49"/>
      <c r="Q860" s="51"/>
      <c r="S860" s="52" t="s">
        <v>134</v>
      </c>
      <c r="T860" s="40">
        <v>15.737319899999999</v>
      </c>
      <c r="U860" s="30">
        <v>5.2400000000000002E-2</v>
      </c>
      <c r="V860" s="42">
        <f>U853*T860</f>
        <v>19278.216877499999</v>
      </c>
    </row>
    <row r="861" spans="4:22" ht="15" thickBot="1">
      <c r="D861" s="34">
        <v>44753</v>
      </c>
      <c r="E861">
        <v>14.864285000000001</v>
      </c>
      <c r="G861" s="35">
        <v>679.85</v>
      </c>
      <c r="H861" s="36"/>
      <c r="I861" s="36"/>
      <c r="J861" s="37"/>
      <c r="N861" s="47"/>
      <c r="O861" s="48"/>
      <c r="P861" s="49"/>
      <c r="Q861" s="51"/>
      <c r="S861" s="52" t="s">
        <v>135</v>
      </c>
      <c r="T861" s="40">
        <v>9.6810814000000001</v>
      </c>
      <c r="U861" s="30">
        <v>3.2300000000000002E-2</v>
      </c>
      <c r="V861" s="42">
        <f>U853*T861</f>
        <v>11859.324715000001</v>
      </c>
    </row>
    <row r="862" spans="4:22" ht="15" thickBot="1">
      <c r="D862" s="34">
        <v>44750</v>
      </c>
      <c r="E862">
        <v>12.669532999999999</v>
      </c>
      <c r="G862" s="35">
        <v>669.15</v>
      </c>
      <c r="H862" s="36"/>
      <c r="I862" s="36"/>
      <c r="J862" s="37"/>
      <c r="N862" s="47"/>
      <c r="O862" s="48"/>
      <c r="P862" s="49"/>
      <c r="Q862" s="51"/>
      <c r="S862" s="52" t="s">
        <v>136</v>
      </c>
      <c r="T862" s="40">
        <v>7.6208410999999998</v>
      </c>
      <c r="U862" s="30">
        <v>2.5399999999999999E-2</v>
      </c>
      <c r="V862" s="42">
        <f>U853*T862</f>
        <v>9335.5303475000001</v>
      </c>
    </row>
    <row r="863" spans="4:22" ht="15" thickBot="1">
      <c r="D863" s="34">
        <v>44749</v>
      </c>
      <c r="E863">
        <v>11.171714</v>
      </c>
      <c r="G863" s="35">
        <v>658.15</v>
      </c>
      <c r="H863" s="36"/>
      <c r="I863" s="36"/>
      <c r="J863" s="37"/>
      <c r="N863" s="47"/>
      <c r="O863" s="48"/>
      <c r="P863" s="49"/>
      <c r="Q863" s="51"/>
      <c r="S863" s="52" t="s">
        <v>123</v>
      </c>
      <c r="T863" s="40">
        <v>6.6840650000000004</v>
      </c>
      <c r="U863" s="30">
        <v>2.23E-2</v>
      </c>
      <c r="V863" s="42">
        <f>U853*T863</f>
        <v>8187.9796250000009</v>
      </c>
    </row>
    <row r="864" spans="4:22" ht="15" thickBot="1">
      <c r="D864" s="34">
        <v>44748</v>
      </c>
      <c r="E864">
        <v>6.6846860000000001</v>
      </c>
      <c r="G864" s="35">
        <v>657.95</v>
      </c>
      <c r="H864" s="36"/>
      <c r="I864" s="36"/>
      <c r="J864" s="37"/>
      <c r="N864" s="47"/>
      <c r="O864" s="48"/>
      <c r="P864" s="49"/>
      <c r="Q864" s="51"/>
      <c r="S864" s="52" t="s">
        <v>124</v>
      </c>
      <c r="T864" s="40">
        <v>6.4578889000000004</v>
      </c>
      <c r="U864" s="30">
        <v>2.1499999999999998E-2</v>
      </c>
      <c r="V864" s="42">
        <f>U853*T864</f>
        <v>7910.9139025000004</v>
      </c>
    </row>
    <row r="865" spans="4:22" ht="15" thickBot="1">
      <c r="D865" s="34">
        <v>44747</v>
      </c>
      <c r="E865">
        <v>5.0447870000000004</v>
      </c>
      <c r="G865" s="35">
        <v>648.5</v>
      </c>
      <c r="H865" s="36"/>
      <c r="I865" s="36"/>
      <c r="J865" s="37"/>
      <c r="N865" s="47"/>
      <c r="O865" s="48"/>
      <c r="P865" s="49"/>
      <c r="Q865" s="51"/>
      <c r="S865" s="52" t="s">
        <v>125</v>
      </c>
      <c r="T865" s="40">
        <v>5.7598047000000001</v>
      </c>
      <c r="U865" s="30">
        <v>1.9199999999999998E-2</v>
      </c>
      <c r="V865" s="42">
        <f>U853*T865</f>
        <v>7055.7607575000002</v>
      </c>
    </row>
    <row r="866" spans="4:22" ht="15" thickBot="1">
      <c r="D866" s="34">
        <v>44746</v>
      </c>
      <c r="E866">
        <v>3.9333840000000002</v>
      </c>
      <c r="G866" s="35">
        <v>654.35</v>
      </c>
      <c r="H866" s="36"/>
      <c r="I866" s="36"/>
      <c r="J866" s="37"/>
      <c r="N866" s="47"/>
      <c r="O866" s="48"/>
      <c r="P866" s="49"/>
      <c r="Q866" s="51"/>
      <c r="S866" s="52" t="s">
        <v>137</v>
      </c>
      <c r="T866" s="40">
        <v>5.6237475999999997</v>
      </c>
      <c r="U866" s="30">
        <v>1.8700000000000001E-2</v>
      </c>
      <c r="V866" s="42">
        <f>U853*T866</f>
        <v>6889.0908099999997</v>
      </c>
    </row>
    <row r="867" spans="4:22">
      <c r="D867" s="34">
        <v>44743</v>
      </c>
      <c r="E867">
        <v>6.5493589999999999</v>
      </c>
      <c r="G867" s="35">
        <v>643.95000000000005</v>
      </c>
      <c r="H867" s="36"/>
      <c r="I867" s="36"/>
      <c r="J867" s="37"/>
      <c r="R867" s="52"/>
      <c r="S867" s="52"/>
      <c r="T867" s="52"/>
      <c r="U867" s="52"/>
    </row>
    <row r="868" spans="4:22">
      <c r="D868" s="34">
        <v>44742</v>
      </c>
      <c r="E868">
        <v>10.563138</v>
      </c>
      <c r="G868" s="35">
        <v>636.79999999999995</v>
      </c>
      <c r="H868" s="36"/>
      <c r="I868" s="36"/>
      <c r="J868" s="37"/>
    </row>
    <row r="869" spans="4:22">
      <c r="D869" s="34">
        <v>44741</v>
      </c>
      <c r="E869">
        <v>13.620084</v>
      </c>
      <c r="G869" s="35">
        <v>625.54999999999995</v>
      </c>
      <c r="H869" s="36"/>
      <c r="I869" s="36"/>
      <c r="J869" s="37"/>
      <c r="S869" s="52" t="s">
        <v>141</v>
      </c>
      <c r="T869" s="5">
        <v>8.1600000000000006E-2</v>
      </c>
    </row>
    <row r="870" spans="4:22">
      <c r="D870" s="34">
        <v>44740</v>
      </c>
      <c r="E870">
        <v>10.711123000000001</v>
      </c>
      <c r="G870" s="35">
        <v>642.35</v>
      </c>
      <c r="H870" s="36"/>
      <c r="I870" s="36"/>
      <c r="J870" s="37"/>
      <c r="S870" t="s">
        <v>138</v>
      </c>
      <c r="T870" s="5">
        <v>0.41889999999999999</v>
      </c>
    </row>
    <row r="871" spans="4:22">
      <c r="D871" s="34">
        <v>44739</v>
      </c>
      <c r="E871">
        <v>4.5521140000000004</v>
      </c>
      <c r="G871" s="35">
        <v>637.1</v>
      </c>
      <c r="H871" s="36"/>
      <c r="I871" s="36"/>
      <c r="J871" s="37"/>
      <c r="S871" t="s">
        <v>139</v>
      </c>
      <c r="T871" s="5">
        <v>0.42820000000000003</v>
      </c>
    </row>
    <row r="872" spans="4:22">
      <c r="D872" s="34">
        <v>44736</v>
      </c>
      <c r="E872">
        <v>6.9185840000000001</v>
      </c>
      <c r="G872" s="35">
        <v>634</v>
      </c>
      <c r="H872" s="36"/>
      <c r="I872" s="36"/>
      <c r="J872" s="37"/>
      <c r="S872" t="s">
        <v>140</v>
      </c>
      <c r="T872" s="5">
        <v>7.0599999999999996E-2</v>
      </c>
    </row>
    <row r="873" spans="4:22">
      <c r="D873" s="34">
        <v>44735</v>
      </c>
      <c r="E873">
        <v>8.4507770000000004</v>
      </c>
      <c r="G873" s="35">
        <v>629.35</v>
      </c>
      <c r="H873" s="36"/>
      <c r="I873" s="36"/>
      <c r="J873" s="37"/>
    </row>
    <row r="874" spans="4:22">
      <c r="D874" s="34">
        <v>44734</v>
      </c>
      <c r="E874">
        <v>5.8990239999999998</v>
      </c>
      <c r="G874" s="35">
        <v>626.79999999999995</v>
      </c>
      <c r="H874" s="36"/>
      <c r="I874" s="36"/>
      <c r="J874" s="37"/>
    </row>
    <row r="875" spans="4:22">
      <c r="D875" s="34">
        <v>44733</v>
      </c>
      <c r="E875">
        <v>10.333886</v>
      </c>
      <c r="G875" s="35">
        <v>636.5</v>
      </c>
      <c r="H875" s="36"/>
      <c r="I875" s="36"/>
      <c r="J875" s="37"/>
    </row>
    <row r="876" spans="4:22">
      <c r="D876" s="34">
        <v>44732</v>
      </c>
      <c r="E876">
        <v>5.3052219999999997</v>
      </c>
      <c r="G876" s="35">
        <v>628.29999999999995</v>
      </c>
      <c r="H876" s="36"/>
      <c r="I876" s="36"/>
      <c r="J876" s="37"/>
    </row>
    <row r="877" spans="4:22">
      <c r="D877" s="34">
        <v>44729</v>
      </c>
      <c r="E877">
        <v>6.8492009999999999</v>
      </c>
      <c r="G877" s="35">
        <v>635.20000000000005</v>
      </c>
      <c r="H877" s="36"/>
      <c r="I877" s="36"/>
      <c r="J877" s="37"/>
    </row>
    <row r="878" spans="4:22">
      <c r="D878" s="34">
        <v>44728</v>
      </c>
      <c r="E878">
        <v>5.9602830000000004</v>
      </c>
      <c r="G878" s="35">
        <v>634.9</v>
      </c>
      <c r="H878" s="36"/>
      <c r="I878" s="36"/>
      <c r="J878" s="37"/>
    </row>
    <row r="879" spans="4:22">
      <c r="D879" s="34">
        <v>44727</v>
      </c>
      <c r="E879">
        <v>4.6383359999999998</v>
      </c>
      <c r="G879" s="35">
        <v>650.5</v>
      </c>
      <c r="H879" s="36"/>
      <c r="I879" s="36"/>
      <c r="J879" s="37"/>
    </row>
    <row r="880" spans="4:22">
      <c r="D880" s="34">
        <v>44726</v>
      </c>
      <c r="E880">
        <v>5.3918330000000001</v>
      </c>
      <c r="G880" s="35">
        <v>650.75</v>
      </c>
      <c r="H880" s="36"/>
      <c r="I880" s="36"/>
      <c r="J880" s="37"/>
    </row>
    <row r="881" spans="4:10">
      <c r="D881" s="34">
        <v>44725</v>
      </c>
      <c r="E881">
        <v>6.1354309999999996</v>
      </c>
      <c r="G881" s="35">
        <v>648.95000000000005</v>
      </c>
      <c r="H881" s="36"/>
      <c r="I881" s="36"/>
      <c r="J881" s="37"/>
    </row>
    <row r="882" spans="4:10">
      <c r="D882" s="34">
        <v>44722</v>
      </c>
      <c r="E882">
        <v>6.758832</v>
      </c>
      <c r="G882" s="35">
        <v>660.7</v>
      </c>
      <c r="H882" s="36"/>
      <c r="I882" s="36"/>
      <c r="J882" s="37"/>
    </row>
    <row r="883" spans="4:10">
      <c r="D883" s="34">
        <v>44721</v>
      </c>
      <c r="E883">
        <v>5.6827430000000003</v>
      </c>
      <c r="G883" s="35">
        <v>661.3</v>
      </c>
      <c r="H883" s="36"/>
      <c r="I883" s="36"/>
      <c r="J883" s="37"/>
    </row>
    <row r="884" spans="4:10">
      <c r="D884" s="34">
        <v>44720</v>
      </c>
      <c r="E884">
        <v>9.2824939999999998</v>
      </c>
      <c r="G884" s="35">
        <v>658.6</v>
      </c>
      <c r="H884" s="36"/>
      <c r="I884" s="36"/>
      <c r="J884" s="37"/>
    </row>
    <row r="885" spans="4:10">
      <c r="D885" s="34">
        <v>44719</v>
      </c>
      <c r="E885">
        <v>8.3127779999999998</v>
      </c>
      <c r="G885" s="35">
        <v>665.85</v>
      </c>
      <c r="H885" s="36"/>
      <c r="I885" s="36"/>
      <c r="J885" s="37"/>
    </row>
    <row r="886" spans="4:10">
      <c r="D886" s="34">
        <v>44718</v>
      </c>
      <c r="E886">
        <v>6.7568640000000002</v>
      </c>
      <c r="G886" s="35">
        <v>672.2</v>
      </c>
      <c r="H886" s="36"/>
      <c r="I886" s="36"/>
      <c r="J886" s="37"/>
    </row>
    <row r="887" spans="4:10">
      <c r="D887" s="34">
        <v>44715</v>
      </c>
      <c r="E887">
        <v>8.4757259999999999</v>
      </c>
      <c r="G887" s="35">
        <v>677.3</v>
      </c>
      <c r="H887" s="36"/>
      <c r="I887" s="36"/>
      <c r="J887" s="37"/>
    </row>
    <row r="888" spans="4:10">
      <c r="D888" s="34">
        <v>44714</v>
      </c>
      <c r="E888">
        <v>6.3474329999999997</v>
      </c>
      <c r="G888" s="35">
        <v>691.55</v>
      </c>
      <c r="H888" s="36"/>
      <c r="I888" s="36"/>
      <c r="J888" s="37"/>
    </row>
    <row r="889" spans="4:10">
      <c r="D889" s="34">
        <v>44713</v>
      </c>
      <c r="E889">
        <v>6.9666740000000003</v>
      </c>
      <c r="G889" s="35">
        <v>686.05</v>
      </c>
      <c r="H889" s="36"/>
      <c r="I889" s="36"/>
      <c r="J889" s="37"/>
    </row>
    <row r="890" spans="4:10">
      <c r="D890" s="34">
        <v>44712</v>
      </c>
      <c r="E890">
        <v>10.410424000000001</v>
      </c>
      <c r="G890" s="35">
        <v>685.2</v>
      </c>
      <c r="H890" s="36"/>
      <c r="I890" s="36"/>
      <c r="J890" s="37"/>
    </row>
    <row r="891" spans="4:10">
      <c r="D891" s="34">
        <v>44711</v>
      </c>
      <c r="E891">
        <v>3.81806</v>
      </c>
      <c r="G891" s="35">
        <v>693.65</v>
      </c>
      <c r="H891" s="36"/>
      <c r="I891" s="36"/>
      <c r="J891" s="37"/>
    </row>
    <row r="892" spans="4:10">
      <c r="D892" s="34">
        <v>44708</v>
      </c>
      <c r="E892">
        <v>5.5390600000000001</v>
      </c>
      <c r="G892" s="35">
        <v>688.3</v>
      </c>
      <c r="H892" s="36"/>
      <c r="I892" s="36"/>
      <c r="J892" s="37"/>
    </row>
    <row r="893" spans="4:10">
      <c r="D893" s="34">
        <v>44707</v>
      </c>
      <c r="E893">
        <v>10.114633</v>
      </c>
      <c r="G893" s="35">
        <v>683.25</v>
      </c>
      <c r="H893" s="36"/>
      <c r="I893" s="36"/>
      <c r="J893" s="37"/>
    </row>
    <row r="894" spans="4:10">
      <c r="D894" s="34">
        <v>44706</v>
      </c>
      <c r="E894">
        <v>5.169619</v>
      </c>
      <c r="G894" s="35">
        <v>665</v>
      </c>
      <c r="H894" s="36"/>
      <c r="I894" s="36"/>
      <c r="J894" s="37"/>
    </row>
    <row r="895" spans="4:10">
      <c r="D895" s="34">
        <v>44705</v>
      </c>
      <c r="E895">
        <v>8.0885459999999991</v>
      </c>
      <c r="G895" s="35">
        <v>664.05</v>
      </c>
      <c r="H895" s="36"/>
      <c r="I895" s="36"/>
      <c r="J895" s="37"/>
    </row>
    <row r="896" spans="4:10">
      <c r="D896" s="34">
        <v>44704</v>
      </c>
      <c r="E896">
        <v>7.9193530000000001</v>
      </c>
      <c r="G896" s="35">
        <v>675.35</v>
      </c>
      <c r="H896" s="36"/>
      <c r="I896" s="36"/>
      <c r="J896" s="37"/>
    </row>
    <row r="897" spans="4:10">
      <c r="D897" s="34">
        <v>44701</v>
      </c>
      <c r="E897">
        <v>9.708672</v>
      </c>
      <c r="G897" s="35">
        <v>673.1</v>
      </c>
      <c r="H897" s="36"/>
      <c r="I897" s="36"/>
      <c r="J897" s="37"/>
    </row>
    <row r="898" spans="4:10">
      <c r="D898" s="34">
        <v>44700</v>
      </c>
      <c r="E898">
        <v>9.2169480000000004</v>
      </c>
      <c r="G898" s="35">
        <v>650.20000000000005</v>
      </c>
      <c r="H898" s="36"/>
      <c r="I898" s="36"/>
      <c r="J898" s="37"/>
    </row>
    <row r="899" spans="4:10">
      <c r="D899" s="34">
        <v>44699</v>
      </c>
      <c r="E899">
        <v>13.013873</v>
      </c>
      <c r="G899" s="35">
        <v>659.45</v>
      </c>
      <c r="H899" s="36"/>
      <c r="I899" s="36"/>
      <c r="J899" s="37"/>
    </row>
    <row r="900" spans="4:10">
      <c r="D900" s="34">
        <v>44698</v>
      </c>
      <c r="E900">
        <v>8.1522369999999995</v>
      </c>
      <c r="G900" s="35">
        <v>654.95000000000005</v>
      </c>
      <c r="H900" s="36"/>
      <c r="I900" s="36"/>
      <c r="J900" s="37"/>
    </row>
    <row r="901" spans="4:10">
      <c r="D901" s="34">
        <v>44697</v>
      </c>
      <c r="E901">
        <v>6.1596950000000001</v>
      </c>
      <c r="G901" s="35">
        <v>638.95000000000005</v>
      </c>
      <c r="H901" s="36"/>
      <c r="I901" s="36"/>
      <c r="J901" s="37"/>
    </row>
    <row r="902" spans="4:10">
      <c r="D902" s="34">
        <v>44694</v>
      </c>
      <c r="E902">
        <v>9.618627</v>
      </c>
      <c r="G902" s="35">
        <v>635.95000000000005</v>
      </c>
      <c r="H902" s="36"/>
      <c r="I902" s="36"/>
      <c r="J902" s="37"/>
    </row>
    <row r="903" spans="4:10">
      <c r="D903" s="34">
        <v>44693</v>
      </c>
      <c r="E903">
        <v>11.166084</v>
      </c>
      <c r="G903" s="35">
        <v>649.65</v>
      </c>
      <c r="H903" s="36"/>
      <c r="I903" s="36"/>
      <c r="J903" s="37"/>
    </row>
    <row r="904" spans="4:10">
      <c r="D904" s="34">
        <v>44692</v>
      </c>
      <c r="E904">
        <v>9.3523980000000009</v>
      </c>
      <c r="G904" s="35">
        <v>672.35</v>
      </c>
      <c r="H904" s="36"/>
      <c r="I904" s="36"/>
      <c r="J904" s="37"/>
    </row>
    <row r="905" spans="4:10">
      <c r="D905" s="34">
        <v>44691</v>
      </c>
      <c r="E905">
        <v>9.5236979999999996</v>
      </c>
      <c r="G905" s="35">
        <v>659.75</v>
      </c>
      <c r="H905" s="36"/>
      <c r="I905" s="36"/>
      <c r="J905" s="37"/>
    </row>
    <row r="906" spans="4:10">
      <c r="D906" s="34">
        <v>44690</v>
      </c>
      <c r="E906">
        <v>13.999328999999999</v>
      </c>
      <c r="G906" s="35">
        <v>663.7</v>
      </c>
      <c r="H906" s="36"/>
      <c r="I906" s="36"/>
      <c r="J906" s="37"/>
    </row>
    <row r="907" spans="4:10">
      <c r="D907" s="34">
        <v>44687</v>
      </c>
      <c r="E907">
        <v>15.511195000000001</v>
      </c>
      <c r="G907" s="35">
        <v>673.4</v>
      </c>
      <c r="H907" s="36"/>
      <c r="I907" s="36"/>
      <c r="J907" s="37"/>
    </row>
    <row r="908" spans="4:10">
      <c r="D908" s="34">
        <v>44686</v>
      </c>
      <c r="E908">
        <v>12.726146</v>
      </c>
      <c r="G908" s="35">
        <v>702.35</v>
      </c>
      <c r="H908" s="36"/>
      <c r="I908" s="36"/>
      <c r="J908" s="37"/>
    </row>
    <row r="909" spans="4:10">
      <c r="D909" s="34">
        <v>44685</v>
      </c>
      <c r="E909">
        <v>14.548684</v>
      </c>
      <c r="G909" s="35">
        <v>707.2</v>
      </c>
      <c r="H909" s="36"/>
      <c r="I909" s="36"/>
      <c r="J909" s="37"/>
    </row>
    <row r="910" spans="4:10">
      <c r="D910" s="34">
        <v>44683</v>
      </c>
      <c r="E910">
        <v>16.136040000000001</v>
      </c>
      <c r="G910" s="35">
        <v>727.35</v>
      </c>
      <c r="H910" s="36"/>
      <c r="I910" s="36"/>
      <c r="J910" s="37"/>
    </row>
    <row r="911" spans="4:10">
      <c r="D911" s="34">
        <v>44680</v>
      </c>
      <c r="E911">
        <v>34.401710000000001</v>
      </c>
      <c r="G911" s="35">
        <v>728.6</v>
      </c>
      <c r="H911" s="36"/>
      <c r="I911" s="36"/>
      <c r="J911" s="37"/>
    </row>
    <row r="912" spans="4:10">
      <c r="D912" s="34">
        <v>44679</v>
      </c>
      <c r="E912">
        <v>11.037317</v>
      </c>
      <c r="G912" s="35">
        <v>779.8</v>
      </c>
      <c r="H912" s="36"/>
      <c r="I912" s="36"/>
      <c r="J912" s="37"/>
    </row>
    <row r="913" spans="4:10">
      <c r="D913" s="34">
        <v>44678</v>
      </c>
      <c r="E913">
        <v>11.485697</v>
      </c>
      <c r="G913" s="35">
        <v>765.9</v>
      </c>
      <c r="H913" s="36"/>
      <c r="I913" s="36"/>
      <c r="J913" s="37"/>
    </row>
    <row r="914" spans="4:10">
      <c r="D914" s="34">
        <v>44677</v>
      </c>
      <c r="E914">
        <v>11.087204</v>
      </c>
      <c r="G914" s="35">
        <v>775</v>
      </c>
      <c r="H914" s="36"/>
      <c r="I914" s="36"/>
      <c r="J914" s="37"/>
    </row>
    <row r="915" spans="4:10">
      <c r="D915" s="34">
        <v>44676</v>
      </c>
      <c r="E915">
        <v>8.0235249999999994</v>
      </c>
      <c r="G915" s="35">
        <v>780.7</v>
      </c>
      <c r="H915" s="36"/>
      <c r="I915" s="36"/>
      <c r="J915" s="37"/>
    </row>
    <row r="916" spans="4:10">
      <c r="D916" s="34">
        <v>44673</v>
      </c>
      <c r="E916">
        <v>6.2550270000000001</v>
      </c>
      <c r="G916" s="35">
        <v>780.6</v>
      </c>
      <c r="H916" s="36"/>
      <c r="I916" s="36"/>
      <c r="J916" s="37"/>
    </row>
    <row r="917" spans="4:10">
      <c r="D917" s="34">
        <v>44672</v>
      </c>
      <c r="E917">
        <v>6.8516149999999998</v>
      </c>
      <c r="G917" s="35">
        <v>801.8</v>
      </c>
      <c r="H917" s="36"/>
      <c r="I917" s="36"/>
      <c r="J917" s="37"/>
    </row>
    <row r="918" spans="4:10">
      <c r="D918" s="34">
        <v>44671</v>
      </c>
      <c r="E918">
        <v>6.6764910000000004</v>
      </c>
      <c r="G918" s="35">
        <v>794.7</v>
      </c>
      <c r="H918" s="36"/>
      <c r="I918" s="36"/>
      <c r="J918" s="37"/>
    </row>
    <row r="919" spans="4:10">
      <c r="D919" s="34">
        <v>44670</v>
      </c>
      <c r="E919">
        <v>8.7118160000000007</v>
      </c>
      <c r="G919" s="35">
        <v>797.8</v>
      </c>
      <c r="H919" s="36"/>
      <c r="I919" s="36"/>
      <c r="J919" s="37"/>
    </row>
    <row r="920" spans="4:10">
      <c r="D920" s="34">
        <v>44669</v>
      </c>
      <c r="E920">
        <v>11.478317000000001</v>
      </c>
      <c r="G920" s="35">
        <v>798.85</v>
      </c>
      <c r="H920" s="36"/>
      <c r="I920" s="36"/>
      <c r="J920" s="37"/>
    </row>
    <row r="921" spans="4:10">
      <c r="D921" s="34">
        <v>44664</v>
      </c>
      <c r="E921">
        <v>7.6401320000000004</v>
      </c>
      <c r="G921" s="35">
        <v>793.05</v>
      </c>
      <c r="H921" s="36"/>
      <c r="I921" s="36"/>
      <c r="J921" s="37"/>
    </row>
    <row r="922" spans="4:10">
      <c r="D922" s="34">
        <v>44663</v>
      </c>
      <c r="E922">
        <v>7.6722149999999996</v>
      </c>
      <c r="G922" s="35">
        <v>798.45</v>
      </c>
      <c r="H922" s="36"/>
      <c r="I922" s="36"/>
      <c r="J922" s="37"/>
    </row>
    <row r="923" spans="4:10">
      <c r="D923" s="34">
        <v>44662</v>
      </c>
      <c r="E923">
        <v>6.340427</v>
      </c>
      <c r="G923" s="35">
        <v>786.05</v>
      </c>
      <c r="H923" s="36"/>
      <c r="I923" s="36"/>
      <c r="J923" s="37"/>
    </row>
    <row r="924" spans="4:10">
      <c r="D924" s="34">
        <v>44659</v>
      </c>
      <c r="E924">
        <v>8.1042369999999995</v>
      </c>
      <c r="G924" s="35">
        <v>794.9</v>
      </c>
      <c r="H924" s="36"/>
      <c r="I924" s="36"/>
      <c r="J924" s="37"/>
    </row>
    <row r="925" spans="4:10">
      <c r="D925" s="34">
        <v>44658</v>
      </c>
      <c r="E925">
        <v>9.8202440000000006</v>
      </c>
      <c r="G925" s="35">
        <v>792.1</v>
      </c>
      <c r="H925" s="36"/>
      <c r="I925" s="36"/>
      <c r="J925" s="37"/>
    </row>
    <row r="926" spans="4:10">
      <c r="D926" s="34">
        <v>44657</v>
      </c>
      <c r="E926">
        <v>9.9549210000000006</v>
      </c>
      <c r="G926" s="35">
        <v>773.7</v>
      </c>
      <c r="H926" s="36"/>
      <c r="I926" s="36"/>
      <c r="J926" s="37"/>
    </row>
    <row r="927" spans="4:10">
      <c r="D927" s="34">
        <v>44656</v>
      </c>
      <c r="E927">
        <v>7.3341339999999997</v>
      </c>
      <c r="G927" s="35">
        <v>783.1</v>
      </c>
      <c r="H927" s="36"/>
      <c r="I927" s="36"/>
      <c r="J927" s="37"/>
    </row>
    <row r="928" spans="4:10">
      <c r="D928" s="34">
        <v>44655</v>
      </c>
      <c r="E928">
        <v>10.959783</v>
      </c>
      <c r="G928" s="35">
        <v>784.1</v>
      </c>
      <c r="H928" s="36"/>
      <c r="I928" s="36"/>
      <c r="J928" s="37"/>
    </row>
    <row r="929" spans="4:10">
      <c r="D929" s="34">
        <v>44652</v>
      </c>
      <c r="E929">
        <v>9.3218589999999999</v>
      </c>
      <c r="G929" s="35">
        <v>774.55</v>
      </c>
      <c r="H929" s="36"/>
      <c r="I929" s="36"/>
      <c r="J929" s="37"/>
    </row>
    <row r="930" spans="4:10">
      <c r="D930" s="34">
        <v>44651</v>
      </c>
      <c r="E930">
        <v>20.449543999999999</v>
      </c>
      <c r="G930" s="35">
        <v>761.15</v>
      </c>
      <c r="H930" s="36"/>
      <c r="I930" s="36"/>
      <c r="J930" s="37"/>
    </row>
    <row r="931" spans="4:10">
      <c r="D931" s="34">
        <v>44650</v>
      </c>
      <c r="E931">
        <v>16.618113999999998</v>
      </c>
      <c r="G931" s="35">
        <v>750.45</v>
      </c>
      <c r="H931" s="36"/>
      <c r="I931" s="36"/>
      <c r="J931" s="37"/>
    </row>
    <row r="932" spans="4:10">
      <c r="D932" s="34">
        <v>44649</v>
      </c>
      <c r="E932">
        <v>6.174137</v>
      </c>
      <c r="G932" s="35">
        <v>737.8</v>
      </c>
      <c r="H932" s="36"/>
      <c r="I932" s="36"/>
      <c r="J932" s="37"/>
    </row>
    <row r="933" spans="4:10">
      <c r="D933" s="34">
        <v>44648</v>
      </c>
      <c r="E933">
        <v>7.0776690000000002</v>
      </c>
      <c r="G933" s="35">
        <v>736</v>
      </c>
      <c r="H933" s="36"/>
      <c r="I933" s="36"/>
      <c r="J933" s="37"/>
    </row>
    <row r="934" spans="4:10">
      <c r="D934" s="34">
        <v>44645</v>
      </c>
      <c r="E934">
        <v>5.4308940000000003</v>
      </c>
      <c r="G934" s="35">
        <v>721.25</v>
      </c>
      <c r="H934" s="36"/>
      <c r="I934" s="36"/>
      <c r="J934" s="37"/>
    </row>
    <row r="935" spans="4:10">
      <c r="D935" s="34">
        <v>44644</v>
      </c>
      <c r="E935">
        <v>7.5598429999999999</v>
      </c>
      <c r="G935" s="35">
        <v>722.25</v>
      </c>
      <c r="H935" s="36"/>
      <c r="I935" s="36"/>
      <c r="J935" s="37"/>
    </row>
    <row r="936" spans="4:10">
      <c r="D936" s="34">
        <v>44643</v>
      </c>
      <c r="E936">
        <v>5.8862449999999997</v>
      </c>
      <c r="G936" s="35">
        <v>726.75</v>
      </c>
      <c r="H936" s="36"/>
      <c r="I936" s="36"/>
      <c r="J936" s="37"/>
    </row>
    <row r="937" spans="4:10">
      <c r="D937" s="34">
        <v>44642</v>
      </c>
      <c r="E937">
        <v>11.117081000000001</v>
      </c>
      <c r="G937" s="35">
        <v>731.4</v>
      </c>
      <c r="H937" s="36"/>
      <c r="I937" s="36"/>
      <c r="J937" s="37"/>
    </row>
    <row r="938" spans="4:10">
      <c r="D938" s="34">
        <v>44641</v>
      </c>
      <c r="E938">
        <v>7.4956849999999999</v>
      </c>
      <c r="G938" s="35">
        <v>725.9</v>
      </c>
      <c r="H938" s="36"/>
      <c r="I938" s="36"/>
      <c r="J938" s="37"/>
    </row>
    <row r="939" spans="4:10">
      <c r="D939" s="34">
        <v>44637</v>
      </c>
      <c r="E939">
        <v>13.657427999999999</v>
      </c>
      <c r="G939" s="35">
        <v>739.25</v>
      </c>
      <c r="H939" s="36"/>
      <c r="I939" s="36"/>
      <c r="J939" s="37"/>
    </row>
    <row r="940" spans="4:10">
      <c r="D940" s="34">
        <v>44636</v>
      </c>
      <c r="E940">
        <v>10.038169999999999</v>
      </c>
      <c r="G940" s="35">
        <v>723.85</v>
      </c>
      <c r="H940" s="36"/>
      <c r="I940" s="36"/>
      <c r="J940" s="37"/>
    </row>
    <row r="941" spans="4:10">
      <c r="D941" s="34">
        <v>44635</v>
      </c>
      <c r="E941">
        <v>12.157425</v>
      </c>
      <c r="G941" s="35">
        <v>698.15</v>
      </c>
      <c r="H941" s="36"/>
      <c r="I941" s="36"/>
      <c r="J941" s="37"/>
    </row>
    <row r="942" spans="4:10">
      <c r="D942" s="34">
        <v>44634</v>
      </c>
      <c r="E942">
        <v>10.720884</v>
      </c>
      <c r="G942" s="35">
        <v>710.05</v>
      </c>
      <c r="H942" s="36"/>
      <c r="I942" s="36"/>
      <c r="J942" s="37"/>
    </row>
    <row r="943" spans="4:10">
      <c r="D943" s="34">
        <v>44631</v>
      </c>
      <c r="E943">
        <v>14.224356</v>
      </c>
      <c r="G943" s="35">
        <v>690.85</v>
      </c>
      <c r="H943" s="36"/>
      <c r="I943" s="36"/>
      <c r="J943" s="37"/>
    </row>
    <row r="944" spans="4:10">
      <c r="D944" s="34">
        <v>44630</v>
      </c>
      <c r="E944">
        <v>23.224755999999999</v>
      </c>
      <c r="G944" s="35">
        <v>694.95</v>
      </c>
      <c r="H944" s="36"/>
      <c r="I944" s="36"/>
      <c r="J944" s="37"/>
    </row>
    <row r="945" spans="4:10">
      <c r="D945" s="34">
        <v>44629</v>
      </c>
      <c r="E945">
        <v>20.438651</v>
      </c>
      <c r="G945" s="35">
        <v>674.2</v>
      </c>
      <c r="H945" s="36"/>
      <c r="I945" s="36"/>
      <c r="J945" s="37"/>
    </row>
    <row r="946" spans="4:10">
      <c r="D946" s="34">
        <v>44628</v>
      </c>
      <c r="E946">
        <v>24.828458000000001</v>
      </c>
      <c r="G946" s="35">
        <v>670.4</v>
      </c>
      <c r="H946" s="36"/>
      <c r="I946" s="36"/>
      <c r="J946" s="37"/>
    </row>
    <row r="947" spans="4:10">
      <c r="D947" s="34">
        <v>44627</v>
      </c>
      <c r="E947">
        <v>20.147061000000001</v>
      </c>
      <c r="G947" s="35">
        <v>667.55</v>
      </c>
      <c r="H947" s="36"/>
      <c r="I947" s="36"/>
      <c r="J947" s="37"/>
    </row>
    <row r="948" spans="4:10">
      <c r="D948" s="34">
        <v>44624</v>
      </c>
      <c r="E948">
        <v>11.660648</v>
      </c>
      <c r="G948" s="35">
        <v>715</v>
      </c>
      <c r="H948" s="36"/>
      <c r="I948" s="36"/>
      <c r="J948" s="37"/>
    </row>
    <row r="949" spans="4:10">
      <c r="D949" s="34">
        <v>44623</v>
      </c>
      <c r="E949">
        <v>8.3571810000000006</v>
      </c>
      <c r="G949" s="35">
        <v>737.65</v>
      </c>
      <c r="H949" s="36"/>
      <c r="I949" s="36"/>
      <c r="J949" s="37"/>
    </row>
    <row r="950" spans="4:10">
      <c r="D950" s="34">
        <v>44622</v>
      </c>
      <c r="E950">
        <v>11.691602</v>
      </c>
      <c r="G950" s="35">
        <v>750.25</v>
      </c>
      <c r="H950" s="36"/>
      <c r="I950" s="36"/>
      <c r="J950" s="37"/>
    </row>
    <row r="951" spans="4:10">
      <c r="D951" s="34">
        <v>44620</v>
      </c>
      <c r="E951">
        <v>14.463418000000001</v>
      </c>
      <c r="G951" s="35">
        <v>742.4</v>
      </c>
      <c r="H951" s="36"/>
      <c r="I951" s="36"/>
      <c r="J951" s="37"/>
    </row>
    <row r="952" spans="4:10">
      <c r="D952" s="34">
        <v>44617</v>
      </c>
      <c r="E952">
        <v>10.066136</v>
      </c>
      <c r="G952" s="35">
        <v>758.05</v>
      </c>
      <c r="H952" s="36"/>
      <c r="I952" s="36"/>
      <c r="J952" s="37"/>
    </row>
    <row r="953" spans="4:10">
      <c r="D953" s="34">
        <v>44616</v>
      </c>
      <c r="E953">
        <v>13.085008999999999</v>
      </c>
      <c r="G953" s="35">
        <v>730.3</v>
      </c>
      <c r="H953" s="36"/>
      <c r="I953" s="36"/>
      <c r="J953" s="37"/>
    </row>
    <row r="954" spans="4:10">
      <c r="D954" s="34">
        <v>44615</v>
      </c>
      <c r="E954">
        <v>6.3031730000000001</v>
      </c>
      <c r="G954" s="35">
        <v>777.2</v>
      </c>
      <c r="H954" s="36"/>
      <c r="I954" s="36"/>
      <c r="J954" s="37"/>
    </row>
    <row r="955" spans="4:10">
      <c r="D955" s="34">
        <v>44614</v>
      </c>
      <c r="E955">
        <v>6.9235579999999999</v>
      </c>
      <c r="G955" s="35">
        <v>779.15</v>
      </c>
      <c r="H955" s="36"/>
      <c r="I955" s="36"/>
      <c r="J955" s="37"/>
    </row>
    <row r="956" spans="4:10">
      <c r="D956" s="34">
        <v>44613</v>
      </c>
      <c r="E956">
        <v>5.635224</v>
      </c>
      <c r="G956" s="35">
        <v>788.85</v>
      </c>
      <c r="H956" s="36"/>
      <c r="I956" s="36"/>
      <c r="J956" s="37"/>
    </row>
    <row r="957" spans="4:10">
      <c r="D957" s="34">
        <v>44610</v>
      </c>
      <c r="E957">
        <v>5.4666620000000004</v>
      </c>
      <c r="G957" s="35">
        <v>787.4</v>
      </c>
      <c r="H957" s="36"/>
      <c r="I957" s="36"/>
      <c r="J957" s="37"/>
    </row>
    <row r="958" spans="4:10">
      <c r="D958" s="34">
        <v>44609</v>
      </c>
      <c r="E958">
        <v>6.5163080000000004</v>
      </c>
      <c r="G958" s="35">
        <v>782.8</v>
      </c>
      <c r="H958" s="36"/>
      <c r="I958" s="36"/>
      <c r="J958" s="37"/>
    </row>
    <row r="959" spans="4:10">
      <c r="D959" s="34">
        <v>44608</v>
      </c>
      <c r="E959">
        <v>7.4577650000000002</v>
      </c>
      <c r="G959" s="35">
        <v>797.05</v>
      </c>
      <c r="H959" s="36"/>
      <c r="I959" s="36"/>
      <c r="J959" s="37"/>
    </row>
    <row r="960" spans="4:10">
      <c r="D960" s="34">
        <v>44607</v>
      </c>
      <c r="E960">
        <v>7.4265629999999998</v>
      </c>
      <c r="G960" s="35">
        <v>796.95</v>
      </c>
      <c r="H960" s="36"/>
      <c r="I960" s="36"/>
      <c r="J960" s="37"/>
    </row>
    <row r="961" spans="4:10">
      <c r="D961" s="34">
        <v>44606</v>
      </c>
      <c r="E961">
        <v>8.6173889999999993</v>
      </c>
      <c r="G961" s="35">
        <v>773.35</v>
      </c>
      <c r="H961" s="36"/>
      <c r="I961" s="36"/>
      <c r="J961" s="37"/>
    </row>
    <row r="962" spans="4:10">
      <c r="D962" s="34">
        <v>44603</v>
      </c>
      <c r="E962">
        <v>9.7178939999999994</v>
      </c>
      <c r="G962" s="35">
        <v>803.8</v>
      </c>
      <c r="H962" s="36"/>
      <c r="I962" s="36"/>
      <c r="J962" s="37"/>
    </row>
    <row r="963" spans="4:10">
      <c r="D963" s="34">
        <v>44602</v>
      </c>
      <c r="E963">
        <v>12.848281</v>
      </c>
      <c r="G963" s="35">
        <v>809.8</v>
      </c>
      <c r="H963" s="36"/>
      <c r="I963" s="36"/>
      <c r="J963" s="37"/>
    </row>
    <row r="964" spans="4:10">
      <c r="D964" s="34">
        <v>44601</v>
      </c>
      <c r="E964">
        <v>9.3998299999999997</v>
      </c>
      <c r="G964" s="35">
        <v>803.85</v>
      </c>
      <c r="H964" s="36"/>
      <c r="I964" s="36"/>
      <c r="J964" s="37"/>
    </row>
    <row r="965" spans="4:10">
      <c r="D965" s="34">
        <v>44600</v>
      </c>
      <c r="E965">
        <v>12.30067</v>
      </c>
      <c r="G965" s="35">
        <v>798.55</v>
      </c>
      <c r="H965" s="36"/>
      <c r="I965" s="36"/>
      <c r="J965" s="37"/>
    </row>
    <row r="966" spans="4:10">
      <c r="D966" s="34">
        <v>44599</v>
      </c>
      <c r="E966">
        <v>10.939178999999999</v>
      </c>
      <c r="G966" s="35">
        <v>789.6</v>
      </c>
      <c r="H966" s="36"/>
      <c r="I966" s="36"/>
      <c r="J966" s="37"/>
    </row>
    <row r="967" spans="4:10">
      <c r="D967" s="34">
        <v>44596</v>
      </c>
      <c r="E967">
        <v>10.776387</v>
      </c>
      <c r="G967" s="35">
        <v>798.55</v>
      </c>
      <c r="H967" s="36"/>
      <c r="I967" s="36"/>
      <c r="J967" s="37"/>
    </row>
    <row r="968" spans="4:10">
      <c r="D968" s="34">
        <v>44595</v>
      </c>
      <c r="E968">
        <v>10.802708000000001</v>
      </c>
      <c r="G968" s="35">
        <v>799.55</v>
      </c>
      <c r="H968" s="36"/>
      <c r="I968" s="36"/>
      <c r="J968" s="37"/>
    </row>
    <row r="969" spans="4:10">
      <c r="D969" s="34">
        <v>44594</v>
      </c>
      <c r="E969">
        <v>13.478899</v>
      </c>
      <c r="G969" s="35">
        <v>804.1</v>
      </c>
      <c r="H969" s="36"/>
      <c r="I969" s="36"/>
      <c r="J969" s="37"/>
    </row>
    <row r="970" spans="4:10">
      <c r="D970" s="34">
        <v>44593</v>
      </c>
      <c r="E970">
        <v>15.457534000000001</v>
      </c>
      <c r="G970" s="35">
        <v>781.9</v>
      </c>
      <c r="H970" s="36"/>
      <c r="I970" s="36"/>
      <c r="J970" s="37"/>
    </row>
    <row r="971" spans="4:10">
      <c r="D971" s="34">
        <v>44592</v>
      </c>
      <c r="E971">
        <v>12.3192</v>
      </c>
      <c r="G971" s="35">
        <v>773.05</v>
      </c>
      <c r="H971" s="36"/>
      <c r="I971" s="36"/>
      <c r="J971" s="37"/>
    </row>
    <row r="972" spans="4:10">
      <c r="D972" s="34">
        <v>44589</v>
      </c>
      <c r="E972">
        <v>17.765523999999999</v>
      </c>
      <c r="G972" s="35">
        <v>764.7</v>
      </c>
      <c r="H972" s="36"/>
      <c r="I972" s="36"/>
      <c r="J972" s="37"/>
    </row>
    <row r="973" spans="4:10">
      <c r="D973" s="34">
        <v>44588</v>
      </c>
      <c r="E973">
        <v>34.927773999999999</v>
      </c>
      <c r="G973" s="35">
        <v>773.85</v>
      </c>
      <c r="H973" s="36"/>
      <c r="I973" s="36"/>
      <c r="J973" s="37"/>
    </row>
    <row r="974" spans="4:10">
      <c r="D974" s="34">
        <v>44586</v>
      </c>
      <c r="E974">
        <v>38.088158</v>
      </c>
      <c r="G974" s="35">
        <v>752.2</v>
      </c>
      <c r="H974" s="36"/>
      <c r="I974" s="36"/>
      <c r="J974" s="37"/>
    </row>
    <row r="975" spans="4:10">
      <c r="D975" s="34">
        <v>44585</v>
      </c>
      <c r="E975">
        <v>8.8125009999999993</v>
      </c>
      <c r="G975" s="35">
        <v>704.6</v>
      </c>
      <c r="H975" s="36"/>
      <c r="I975" s="36"/>
      <c r="J975" s="37"/>
    </row>
    <row r="976" spans="4:10">
      <c r="D976" s="34">
        <v>44582</v>
      </c>
      <c r="E976">
        <v>10.68906</v>
      </c>
      <c r="G976" s="35">
        <v>712.5</v>
      </c>
      <c r="H976" s="36"/>
      <c r="I976" s="36"/>
      <c r="J976" s="37"/>
    </row>
    <row r="977" spans="4:10">
      <c r="D977" s="34">
        <v>44581</v>
      </c>
      <c r="E977">
        <v>8.5053999999999998</v>
      </c>
      <c r="G977" s="35">
        <v>728.9</v>
      </c>
      <c r="H977" s="36"/>
      <c r="I977" s="36"/>
      <c r="J977" s="37"/>
    </row>
    <row r="978" spans="4:10">
      <c r="D978" s="34">
        <v>44580</v>
      </c>
      <c r="E978">
        <v>7.74627</v>
      </c>
      <c r="G978" s="35">
        <v>729.6</v>
      </c>
      <c r="H978" s="36"/>
      <c r="I978" s="36"/>
      <c r="J978" s="37"/>
    </row>
    <row r="979" spans="4:10">
      <c r="D979" s="34">
        <v>44579</v>
      </c>
      <c r="E979">
        <v>24.055886000000001</v>
      </c>
      <c r="G979" s="35">
        <v>725.2</v>
      </c>
      <c r="H979" s="36"/>
      <c r="I979" s="36"/>
      <c r="J979" s="37"/>
    </row>
    <row r="980" spans="4:10">
      <c r="D980" s="34">
        <v>44578</v>
      </c>
      <c r="E980">
        <v>19.680557</v>
      </c>
      <c r="G980" s="35">
        <v>712.65</v>
      </c>
      <c r="H980" s="36"/>
      <c r="I980" s="36"/>
      <c r="J980" s="37"/>
    </row>
    <row r="981" spans="4:10">
      <c r="D981" s="34">
        <v>44575</v>
      </c>
      <c r="E981">
        <v>16.302341999999999</v>
      </c>
      <c r="G981" s="35">
        <v>721.7</v>
      </c>
      <c r="H981" s="36"/>
      <c r="I981" s="36"/>
      <c r="J981" s="37"/>
    </row>
    <row r="982" spans="4:10">
      <c r="D982" s="34">
        <v>44574</v>
      </c>
      <c r="E982">
        <v>5.1965380000000003</v>
      </c>
      <c r="G982" s="35">
        <v>740.7</v>
      </c>
      <c r="H982" s="36"/>
      <c r="I982" s="36"/>
      <c r="J982" s="37"/>
    </row>
    <row r="983" spans="4:10">
      <c r="D983" s="34">
        <v>44573</v>
      </c>
      <c r="E983">
        <v>5.2945630000000001</v>
      </c>
      <c r="G983" s="35">
        <v>746.85</v>
      </c>
      <c r="H983" s="36"/>
      <c r="I983" s="36"/>
      <c r="J983" s="37"/>
    </row>
    <row r="984" spans="4:10">
      <c r="D984" s="34">
        <v>44572</v>
      </c>
      <c r="E984">
        <v>7.2522789999999997</v>
      </c>
      <c r="G984" s="35">
        <v>743.25</v>
      </c>
      <c r="H984" s="36"/>
      <c r="I984" s="36"/>
      <c r="J984" s="37"/>
    </row>
    <row r="985" spans="4:10">
      <c r="D985" s="34">
        <v>44571</v>
      </c>
      <c r="E985">
        <v>9.5957869999999996</v>
      </c>
      <c r="G985" s="35">
        <v>742.8</v>
      </c>
      <c r="H985" s="36"/>
      <c r="I985" s="36"/>
      <c r="J985" s="37"/>
    </row>
    <row r="986" spans="4:10">
      <c r="D986" s="34">
        <v>44568</v>
      </c>
      <c r="E986">
        <v>10.454143</v>
      </c>
      <c r="G986" s="35">
        <v>730.6</v>
      </c>
      <c r="H986" s="36"/>
      <c r="I986" s="36"/>
      <c r="J986" s="37"/>
    </row>
    <row r="987" spans="4:10">
      <c r="D987" s="34">
        <v>44567</v>
      </c>
      <c r="E987">
        <v>7.955578</v>
      </c>
      <c r="G987" s="35">
        <v>730.3</v>
      </c>
      <c r="H987" s="36"/>
      <c r="I987" s="36"/>
      <c r="J987" s="37"/>
    </row>
    <row r="988" spans="4:10">
      <c r="D988" s="34">
        <v>44566</v>
      </c>
      <c r="E988">
        <v>11.312955000000001</v>
      </c>
      <c r="G988" s="35">
        <v>726.9</v>
      </c>
      <c r="H988" s="36"/>
      <c r="I988" s="36"/>
      <c r="J988" s="37"/>
    </row>
    <row r="989" spans="4:10">
      <c r="D989" s="34">
        <v>44565</v>
      </c>
      <c r="E989">
        <v>9.7059060000000006</v>
      </c>
      <c r="G989" s="35">
        <v>709.15</v>
      </c>
      <c r="H989" s="36"/>
      <c r="I989" s="36"/>
      <c r="J989" s="37"/>
    </row>
    <row r="990" spans="4:10">
      <c r="D990" s="34">
        <v>44564</v>
      </c>
      <c r="E990">
        <v>8.5508600000000001</v>
      </c>
      <c r="G990" s="35">
        <v>696.35</v>
      </c>
      <c r="H990" s="36"/>
      <c r="I990" s="36"/>
      <c r="J990" s="37"/>
    </row>
    <row r="991" spans="4:10">
      <c r="D991" s="34">
        <v>44561</v>
      </c>
      <c r="E991">
        <v>5.5869799999999996</v>
      </c>
      <c r="G991" s="35">
        <v>678.55</v>
      </c>
      <c r="H991" s="36"/>
      <c r="I991" s="36"/>
      <c r="J991" s="37"/>
    </row>
    <row r="992" spans="4:10">
      <c r="D992" s="34">
        <v>44560</v>
      </c>
      <c r="E992">
        <v>5.1197049999999997</v>
      </c>
      <c r="G992" s="35">
        <v>668.85</v>
      </c>
      <c r="H992" s="36"/>
      <c r="I992" s="36"/>
      <c r="J992" s="37"/>
    </row>
    <row r="993" spans="4:10">
      <c r="D993" s="34">
        <v>44559</v>
      </c>
      <c r="E993">
        <v>3.969894</v>
      </c>
      <c r="G993" s="35">
        <v>670.5</v>
      </c>
      <c r="H993" s="36"/>
      <c r="I993" s="36"/>
      <c r="J993" s="37"/>
    </row>
    <row r="994" spans="4:10">
      <c r="D994" s="34">
        <v>44558</v>
      </c>
      <c r="E994">
        <v>4.6455469999999996</v>
      </c>
      <c r="G994" s="35">
        <v>675.45</v>
      </c>
      <c r="H994" s="36"/>
      <c r="I994" s="36"/>
      <c r="J994" s="37"/>
    </row>
    <row r="995" spans="4:10">
      <c r="D995" s="34">
        <v>44557</v>
      </c>
      <c r="E995">
        <v>6.9967290000000002</v>
      </c>
      <c r="G995" s="35">
        <v>672.15</v>
      </c>
      <c r="H995" s="36"/>
      <c r="I995" s="36"/>
      <c r="J995" s="37"/>
    </row>
    <row r="996" spans="4:10">
      <c r="D996" s="34">
        <v>44554</v>
      </c>
      <c r="E996">
        <v>6.0288930000000001</v>
      </c>
      <c r="G996" s="35">
        <v>667.5</v>
      </c>
      <c r="H996" s="36"/>
      <c r="I996" s="36"/>
      <c r="J996" s="37"/>
    </row>
    <row r="997" spans="4:10">
      <c r="D997" s="34">
        <v>44553</v>
      </c>
      <c r="E997">
        <v>6.8846829999999999</v>
      </c>
      <c r="G997" s="35">
        <v>678.8</v>
      </c>
      <c r="H997" s="36"/>
      <c r="I997" s="36"/>
      <c r="J997" s="37"/>
    </row>
    <row r="998" spans="4:10">
      <c r="D998" s="34">
        <v>44552</v>
      </c>
      <c r="E998">
        <v>7.4895339999999999</v>
      </c>
      <c r="G998" s="35">
        <v>669.35</v>
      </c>
      <c r="H998" s="36"/>
      <c r="I998" s="36"/>
      <c r="J998" s="37"/>
    </row>
    <row r="999" spans="4:10">
      <c r="D999" s="34">
        <v>44551</v>
      </c>
      <c r="E999">
        <v>10.116104</v>
      </c>
      <c r="G999" s="35">
        <v>665.85</v>
      </c>
      <c r="H999" s="36"/>
      <c r="I999" s="36"/>
      <c r="J999" s="37"/>
    </row>
    <row r="1000" spans="4:10">
      <c r="D1000" s="34">
        <v>44550</v>
      </c>
      <c r="E1000">
        <v>9.9346460000000008</v>
      </c>
      <c r="G1000" s="35">
        <v>674.35</v>
      </c>
      <c r="H1000" s="36"/>
      <c r="I1000" s="36"/>
      <c r="J1000" s="37"/>
    </row>
    <row r="1001" spans="4:10">
      <c r="D1001" s="34">
        <v>44547</v>
      </c>
      <c r="E1001">
        <v>7.8447050000000003</v>
      </c>
      <c r="G1001" s="35">
        <v>688.9</v>
      </c>
      <c r="H1001" s="36"/>
      <c r="I1001" s="36"/>
      <c r="J1001" s="37"/>
    </row>
    <row r="1002" spans="4:10">
      <c r="D1002" s="34">
        <v>44546</v>
      </c>
      <c r="E1002">
        <v>7.3091869999999997</v>
      </c>
      <c r="G1002" s="35">
        <v>709.65</v>
      </c>
      <c r="H1002" s="36"/>
      <c r="I1002" s="36"/>
      <c r="J1002" s="37"/>
    </row>
    <row r="1003" spans="4:10">
      <c r="D1003" s="34">
        <v>44545</v>
      </c>
      <c r="E1003">
        <v>7.6928879999999999</v>
      </c>
      <c r="G1003" s="35">
        <v>712.5</v>
      </c>
      <c r="H1003" s="36"/>
      <c r="I1003" s="36"/>
      <c r="J1003" s="37"/>
    </row>
    <row r="1004" spans="4:10">
      <c r="D1004" s="34">
        <v>44544</v>
      </c>
      <c r="E1004">
        <v>8.6125120000000006</v>
      </c>
      <c r="G1004" s="35">
        <v>710.9</v>
      </c>
      <c r="H1004" s="36"/>
      <c r="I1004" s="36"/>
      <c r="J1004" s="37"/>
    </row>
    <row r="1005" spans="4:10">
      <c r="D1005" s="34">
        <v>44543</v>
      </c>
      <c r="E1005">
        <v>13.634563</v>
      </c>
      <c r="G1005" s="35">
        <v>704</v>
      </c>
      <c r="H1005" s="36"/>
      <c r="I1005" s="36"/>
      <c r="J1005" s="37"/>
    </row>
    <row r="1006" spans="4:10">
      <c r="D1006" s="34">
        <v>44540</v>
      </c>
      <c r="E1006">
        <v>5.5497430000000003</v>
      </c>
      <c r="G1006" s="35">
        <v>688.05</v>
      </c>
      <c r="H1006" s="36"/>
      <c r="I1006" s="36"/>
      <c r="J1006" s="37"/>
    </row>
    <row r="1007" spans="4:10">
      <c r="D1007" s="34">
        <v>44539</v>
      </c>
      <c r="E1007">
        <v>7.0213950000000001</v>
      </c>
      <c r="G1007" s="35">
        <v>693.95</v>
      </c>
      <c r="H1007" s="36"/>
      <c r="I1007" s="36"/>
      <c r="J1007" s="37"/>
    </row>
    <row r="1008" spans="4:10">
      <c r="D1008" s="34">
        <v>44538</v>
      </c>
      <c r="E1008">
        <v>11.670826</v>
      </c>
      <c r="G1008" s="35">
        <v>697.1</v>
      </c>
      <c r="H1008" s="36"/>
      <c r="I1008" s="36"/>
      <c r="J1008" s="37"/>
    </row>
    <row r="1009" spans="4:10">
      <c r="D1009" s="34">
        <v>44537</v>
      </c>
      <c r="E1009">
        <v>15.123987</v>
      </c>
      <c r="G1009" s="35">
        <v>687</v>
      </c>
      <c r="H1009" s="36"/>
      <c r="I1009" s="36"/>
      <c r="J1009" s="37"/>
    </row>
    <row r="1010" spans="4:10">
      <c r="D1010" s="34">
        <v>44536</v>
      </c>
      <c r="E1010">
        <v>8.0227850000000007</v>
      </c>
      <c r="G1010" s="35">
        <v>663.1</v>
      </c>
      <c r="H1010" s="36"/>
      <c r="I1010" s="36"/>
      <c r="J1010" s="37"/>
    </row>
    <row r="1011" spans="4:10">
      <c r="D1011" s="34">
        <v>44533</v>
      </c>
      <c r="E1011">
        <v>9.5059850000000008</v>
      </c>
      <c r="G1011" s="35">
        <v>673</v>
      </c>
      <c r="H1011" s="36"/>
      <c r="I1011" s="36"/>
      <c r="J1011" s="37"/>
    </row>
    <row r="1012" spans="4:10">
      <c r="D1012" s="34">
        <v>44532</v>
      </c>
      <c r="E1012">
        <v>8.6126009999999997</v>
      </c>
      <c r="G1012" s="35">
        <v>676.1</v>
      </c>
      <c r="H1012" s="36"/>
      <c r="I1012" s="36"/>
      <c r="J1012" s="37"/>
    </row>
    <row r="1013" spans="4:10">
      <c r="D1013" s="34">
        <v>44531</v>
      </c>
      <c r="E1013">
        <v>16.184200000000001</v>
      </c>
      <c r="G1013" s="35">
        <v>679.6</v>
      </c>
      <c r="H1013" s="36"/>
      <c r="I1013" s="36"/>
      <c r="J1013" s="37"/>
    </row>
    <row r="1014" spans="4:10">
      <c r="D1014" s="34">
        <v>44530</v>
      </c>
      <c r="E1014">
        <v>24.699808999999998</v>
      </c>
      <c r="G1014" s="35">
        <v>655.65</v>
      </c>
      <c r="H1014" s="36"/>
      <c r="I1014" s="36"/>
      <c r="J1014" s="37"/>
    </row>
    <row r="1015" spans="4:10">
      <c r="D1015" s="34">
        <v>44529</v>
      </c>
      <c r="E1015">
        <v>12.084376000000001</v>
      </c>
      <c r="G1015" s="35">
        <v>651.1</v>
      </c>
      <c r="H1015" s="36"/>
      <c r="I1015" s="36"/>
      <c r="J1015" s="37"/>
    </row>
    <row r="1016" spans="4:10">
      <c r="D1016" s="34">
        <v>44526</v>
      </c>
      <c r="E1016">
        <v>10.252753</v>
      </c>
      <c r="G1016" s="35">
        <v>661.75</v>
      </c>
      <c r="H1016" s="36"/>
      <c r="I1016" s="36"/>
      <c r="J1016" s="37"/>
    </row>
    <row r="1017" spans="4:10">
      <c r="D1017" s="34">
        <v>44525</v>
      </c>
      <c r="E1017">
        <v>9.7604860000000002</v>
      </c>
      <c r="G1017" s="35">
        <v>679.9</v>
      </c>
      <c r="H1017" s="36"/>
      <c r="I1017" s="36"/>
      <c r="J1017" s="37"/>
    </row>
    <row r="1018" spans="4:10">
      <c r="D1018" s="34">
        <v>44524</v>
      </c>
      <c r="E1018">
        <v>11.463429</v>
      </c>
      <c r="G1018" s="35">
        <v>685.15</v>
      </c>
      <c r="H1018" s="36"/>
      <c r="I1018" s="36"/>
      <c r="J1018" s="37"/>
    </row>
    <row r="1019" spans="4:10">
      <c r="D1019" s="34">
        <v>44523</v>
      </c>
      <c r="E1019">
        <v>16.575348000000002</v>
      </c>
      <c r="G1019" s="35">
        <v>685.65</v>
      </c>
      <c r="H1019" s="36"/>
      <c r="I1019" s="36"/>
      <c r="J1019" s="37"/>
    </row>
    <row r="1020" spans="4:10">
      <c r="D1020" s="34">
        <v>44522</v>
      </c>
      <c r="E1020">
        <v>16.741078999999999</v>
      </c>
      <c r="G1020" s="35">
        <v>686.4</v>
      </c>
      <c r="H1020" s="36"/>
      <c r="I1020" s="36"/>
      <c r="J1020" s="37"/>
    </row>
    <row r="1021" spans="4:10">
      <c r="D1021" s="34">
        <v>44518</v>
      </c>
      <c r="E1021">
        <v>13.458109</v>
      </c>
      <c r="G1021" s="35">
        <v>706.35</v>
      </c>
      <c r="H1021" s="36"/>
      <c r="I1021" s="36"/>
      <c r="J1021" s="37"/>
    </row>
    <row r="1022" spans="4:10">
      <c r="D1022" s="34">
        <v>44517</v>
      </c>
      <c r="E1022">
        <v>18.083445000000001</v>
      </c>
      <c r="G1022" s="35">
        <v>712.35</v>
      </c>
      <c r="H1022" s="36"/>
      <c r="I1022" s="36"/>
      <c r="J1022" s="37"/>
    </row>
    <row r="1023" spans="4:10">
      <c r="D1023" s="34">
        <v>44516</v>
      </c>
      <c r="E1023">
        <v>8.9787630000000007</v>
      </c>
      <c r="G1023" s="35">
        <v>726.15</v>
      </c>
      <c r="H1023" s="36"/>
      <c r="I1023" s="36"/>
      <c r="J1023" s="37"/>
    </row>
    <row r="1024" spans="4:10">
      <c r="D1024" s="34">
        <v>44515</v>
      </c>
      <c r="E1024">
        <v>12.849161</v>
      </c>
      <c r="G1024" s="35">
        <v>733.25</v>
      </c>
      <c r="H1024" s="36"/>
      <c r="I1024" s="36"/>
      <c r="J1024" s="37"/>
    </row>
    <row r="1025" spans="4:10">
      <c r="D1025" s="34">
        <v>44512</v>
      </c>
      <c r="E1025">
        <v>9.372897</v>
      </c>
      <c r="G1025" s="35">
        <v>736.05</v>
      </c>
      <c r="H1025" s="36"/>
      <c r="I1025" s="36"/>
      <c r="J1025" s="37"/>
    </row>
    <row r="1026" spans="4:10">
      <c r="D1026" s="34">
        <v>44511</v>
      </c>
      <c r="E1026">
        <v>6.1953589999999998</v>
      </c>
      <c r="G1026" s="35">
        <v>738.05</v>
      </c>
      <c r="H1026" s="36"/>
      <c r="I1026" s="36"/>
      <c r="J1026" s="37"/>
    </row>
    <row r="1027" spans="4:10">
      <c r="D1027" s="34">
        <v>44510</v>
      </c>
      <c r="E1027">
        <v>10.844882999999999</v>
      </c>
      <c r="G1027" s="35">
        <v>749.35</v>
      </c>
      <c r="H1027" s="36"/>
      <c r="I1027" s="36"/>
      <c r="J1027" s="37"/>
    </row>
    <row r="1028" spans="4:10">
      <c r="D1028" s="34">
        <v>44509</v>
      </c>
      <c r="E1028">
        <v>12.120207000000001</v>
      </c>
      <c r="G1028" s="35">
        <v>745.05</v>
      </c>
      <c r="H1028" s="36"/>
      <c r="I1028" s="36"/>
      <c r="J1028" s="37"/>
    </row>
    <row r="1029" spans="4:10">
      <c r="D1029" s="34">
        <v>44508</v>
      </c>
      <c r="E1029">
        <v>13.872769999999999</v>
      </c>
      <c r="G1029" s="35">
        <v>751.05</v>
      </c>
      <c r="H1029" s="36"/>
      <c r="I1029" s="36"/>
      <c r="J1029" s="37"/>
    </row>
    <row r="1030" spans="4:10">
      <c r="D1030" s="34">
        <v>44504</v>
      </c>
      <c r="E1030">
        <v>0.79343300000000005</v>
      </c>
      <c r="G1030" s="35">
        <v>752.95</v>
      </c>
      <c r="H1030" s="36"/>
      <c r="I1030" s="36"/>
      <c r="J1030" s="37"/>
    </row>
    <row r="1031" spans="4:10">
      <c r="D1031" s="34">
        <v>44503</v>
      </c>
      <c r="E1031">
        <v>10.529505</v>
      </c>
      <c r="G1031" s="35">
        <v>750.6</v>
      </c>
      <c r="H1031" s="36"/>
      <c r="I1031" s="36"/>
      <c r="J1031" s="37"/>
    </row>
    <row r="1032" spans="4:10">
      <c r="D1032" s="34">
        <v>44502</v>
      </c>
      <c r="E1032">
        <v>11.812106</v>
      </c>
      <c r="G1032" s="35">
        <v>755.85</v>
      </c>
      <c r="H1032" s="36"/>
      <c r="I1032" s="36"/>
      <c r="J1032" s="37"/>
    </row>
    <row r="1033" spans="4:10">
      <c r="D1033" s="34">
        <v>44501</v>
      </c>
      <c r="E1033">
        <v>11.694853999999999</v>
      </c>
      <c r="G1033" s="35">
        <v>752.35</v>
      </c>
      <c r="H1033" s="36"/>
      <c r="I1033" s="36"/>
      <c r="J1033" s="37"/>
    </row>
    <row r="1034" spans="4:10">
      <c r="D1034" s="34">
        <v>44498</v>
      </c>
      <c r="E1034">
        <v>21.343426999999998</v>
      </c>
      <c r="G1034" s="35">
        <v>742</v>
      </c>
      <c r="H1034" s="36"/>
      <c r="I1034" s="36"/>
      <c r="J1034" s="37"/>
    </row>
    <row r="1035" spans="4:10">
      <c r="D1035" s="34">
        <v>44497</v>
      </c>
      <c r="E1035">
        <v>19.320926</v>
      </c>
      <c r="G1035" s="35">
        <v>758.35</v>
      </c>
      <c r="H1035" s="36"/>
      <c r="I1035" s="36"/>
      <c r="J1035" s="37"/>
    </row>
    <row r="1036" spans="4:10">
      <c r="D1036" s="34">
        <v>44496</v>
      </c>
      <c r="E1036">
        <v>39.606414000000001</v>
      </c>
      <c r="G1036" s="35">
        <v>787.5</v>
      </c>
      <c r="H1036" s="36"/>
      <c r="I1036" s="36"/>
      <c r="J1036" s="37"/>
    </row>
    <row r="1037" spans="4:10">
      <c r="D1037" s="34">
        <v>44495</v>
      </c>
      <c r="E1037">
        <v>16.771909000000001</v>
      </c>
      <c r="G1037" s="35">
        <v>841.9</v>
      </c>
      <c r="H1037" s="36"/>
      <c r="I1037" s="36"/>
      <c r="J1037" s="37"/>
    </row>
    <row r="1038" spans="4:10">
      <c r="D1038" s="34">
        <v>44494</v>
      </c>
      <c r="E1038">
        <v>29.193770000000001</v>
      </c>
      <c r="G1038" s="35">
        <v>845.1</v>
      </c>
      <c r="H1038" s="36"/>
      <c r="I1038" s="36"/>
      <c r="J1038" s="37"/>
    </row>
    <row r="1039" spans="4:10">
      <c r="D1039" s="34">
        <v>44491</v>
      </c>
      <c r="E1039">
        <v>10.64697</v>
      </c>
      <c r="G1039" s="35">
        <v>816.7</v>
      </c>
      <c r="H1039" s="36"/>
      <c r="I1039" s="36"/>
      <c r="J1039" s="37"/>
    </row>
    <row r="1040" spans="4:10">
      <c r="D1040" s="34">
        <v>44490</v>
      </c>
      <c r="E1040">
        <v>7.4056389999999999</v>
      </c>
      <c r="G1040" s="35">
        <v>807.8</v>
      </c>
      <c r="H1040" s="36"/>
      <c r="I1040" s="36"/>
      <c r="J1040" s="37"/>
    </row>
    <row r="1041" spans="4:10">
      <c r="D1041" s="34">
        <v>44489</v>
      </c>
      <c r="E1041">
        <v>9.0230669999999993</v>
      </c>
      <c r="G1041" s="35">
        <v>804.8</v>
      </c>
      <c r="H1041" s="36"/>
      <c r="I1041" s="36"/>
      <c r="J1041" s="37"/>
    </row>
    <row r="1042" spans="4:10">
      <c r="D1042" s="34">
        <v>44488</v>
      </c>
      <c r="E1042">
        <v>10.633732</v>
      </c>
      <c r="G1042" s="35">
        <v>801.65</v>
      </c>
      <c r="H1042" s="36"/>
      <c r="I1042" s="36"/>
      <c r="J1042" s="37"/>
    </row>
    <row r="1043" spans="4:10">
      <c r="D1043" s="34">
        <v>44487</v>
      </c>
      <c r="E1043">
        <v>11.014585</v>
      </c>
      <c r="G1043" s="35">
        <v>813.3</v>
      </c>
      <c r="H1043" s="36"/>
      <c r="I1043" s="36"/>
      <c r="J1043" s="37"/>
    </row>
    <row r="1044" spans="4:10">
      <c r="D1044" s="34">
        <v>44483</v>
      </c>
      <c r="E1044">
        <v>7.1571160000000003</v>
      </c>
      <c r="G1044" s="35">
        <v>802.05</v>
      </c>
      <c r="H1044" s="36"/>
      <c r="I1044" s="36"/>
      <c r="J1044" s="37"/>
    </row>
    <row r="1045" spans="4:10">
      <c r="D1045" s="34">
        <v>44482</v>
      </c>
      <c r="E1045">
        <v>4.3814140000000004</v>
      </c>
      <c r="G1045" s="35">
        <v>794.6</v>
      </c>
      <c r="H1045" s="36"/>
      <c r="I1045" s="36"/>
      <c r="J1045" s="37"/>
    </row>
    <row r="1046" spans="4:10">
      <c r="D1046" s="34">
        <v>44481</v>
      </c>
      <c r="E1046">
        <v>5.0985019999999999</v>
      </c>
      <c r="G1046" s="35">
        <v>797.15</v>
      </c>
      <c r="H1046" s="36"/>
      <c r="I1046" s="36"/>
      <c r="J1046" s="37"/>
    </row>
    <row r="1047" spans="4:10">
      <c r="D1047" s="34">
        <v>44480</v>
      </c>
      <c r="E1047">
        <v>4.4174550000000004</v>
      </c>
      <c r="G1047" s="35">
        <v>787.15</v>
      </c>
      <c r="H1047" s="36"/>
      <c r="I1047" s="36"/>
      <c r="J1047" s="37"/>
    </row>
    <row r="1048" spans="4:10">
      <c r="D1048" s="34">
        <v>44477</v>
      </c>
      <c r="E1048">
        <v>4.2956859999999999</v>
      </c>
      <c r="G1048" s="35">
        <v>781.95</v>
      </c>
      <c r="H1048" s="36"/>
      <c r="I1048" s="36"/>
      <c r="J1048" s="37"/>
    </row>
    <row r="1049" spans="4:10">
      <c r="D1049" s="34">
        <v>44476</v>
      </c>
      <c r="E1049">
        <v>6.6226979999999998</v>
      </c>
      <c r="G1049" s="35">
        <v>777.1</v>
      </c>
      <c r="H1049" s="36"/>
      <c r="I1049" s="36"/>
      <c r="J1049" s="37"/>
    </row>
    <row r="1050" spans="4:10">
      <c r="D1050" s="34">
        <v>44475</v>
      </c>
      <c r="E1050">
        <v>5.092479</v>
      </c>
      <c r="G1050" s="35">
        <v>778.95</v>
      </c>
      <c r="H1050" s="36"/>
      <c r="I1050" s="36"/>
      <c r="J1050" s="37"/>
    </row>
    <row r="1051" spans="4:10">
      <c r="D1051" s="34">
        <v>44474</v>
      </c>
      <c r="E1051">
        <v>3.9452240000000001</v>
      </c>
      <c r="G1051" s="35">
        <v>782.6</v>
      </c>
      <c r="H1051" s="36"/>
      <c r="I1051" s="36"/>
      <c r="J1051" s="37"/>
    </row>
    <row r="1052" spans="4:10">
      <c r="D1052" s="34">
        <v>44473</v>
      </c>
      <c r="E1052">
        <v>5.8455269999999997</v>
      </c>
      <c r="G1052" s="35">
        <v>779</v>
      </c>
      <c r="H1052" s="36"/>
      <c r="I1052" s="36"/>
      <c r="J1052" s="37"/>
    </row>
    <row r="1053" spans="4:10">
      <c r="D1053" s="34">
        <v>44470</v>
      </c>
      <c r="E1053">
        <v>6.0898950000000003</v>
      </c>
      <c r="G1053" s="35">
        <v>768.15</v>
      </c>
      <c r="H1053" s="36"/>
      <c r="I1053" s="36"/>
      <c r="J1053" s="37"/>
    </row>
    <row r="1054" spans="4:10">
      <c r="D1054" s="34">
        <v>44469</v>
      </c>
      <c r="E1054">
        <v>9.1781869999999994</v>
      </c>
      <c r="G1054" s="35">
        <v>766.55</v>
      </c>
      <c r="H1054" s="36"/>
      <c r="I1054" s="36"/>
      <c r="J1054" s="37"/>
    </row>
    <row r="1055" spans="4:10">
      <c r="D1055" s="34">
        <v>44468</v>
      </c>
      <c r="E1055">
        <v>14.241004</v>
      </c>
      <c r="G1055" s="35">
        <v>782.15</v>
      </c>
      <c r="H1055" s="36"/>
      <c r="I1055" s="36"/>
      <c r="J1055" s="37"/>
    </row>
    <row r="1056" spans="4:10">
      <c r="D1056" s="34">
        <v>44467</v>
      </c>
      <c r="E1056">
        <v>7.3696799999999998</v>
      </c>
      <c r="G1056" s="35">
        <v>789.2</v>
      </c>
      <c r="H1056" s="36"/>
      <c r="I1056" s="36"/>
      <c r="J1056" s="37"/>
    </row>
    <row r="1057" spans="4:10">
      <c r="D1057" s="34">
        <v>44466</v>
      </c>
      <c r="E1057">
        <v>7.7152589999999996</v>
      </c>
      <c r="G1057" s="35">
        <v>796.95</v>
      </c>
      <c r="H1057" s="36"/>
      <c r="I1057" s="36"/>
      <c r="J1057" s="37"/>
    </row>
    <row r="1058" spans="4:10">
      <c r="D1058" s="34">
        <v>44463</v>
      </c>
      <c r="E1058">
        <v>5.1846259999999997</v>
      </c>
      <c r="G1058" s="35">
        <v>798.05</v>
      </c>
      <c r="H1058" s="36"/>
      <c r="I1058" s="36"/>
      <c r="J1058" s="37"/>
    </row>
    <row r="1059" spans="4:10">
      <c r="D1059" s="34">
        <v>44462</v>
      </c>
      <c r="E1059">
        <v>9.0434920000000005</v>
      </c>
      <c r="G1059" s="35">
        <v>812.15</v>
      </c>
      <c r="H1059" s="36"/>
      <c r="I1059" s="36"/>
      <c r="J1059" s="37"/>
    </row>
    <row r="1060" spans="4:10">
      <c r="D1060" s="34">
        <v>44461</v>
      </c>
      <c r="E1060">
        <v>4.3591420000000003</v>
      </c>
      <c r="G1060" s="35">
        <v>788.35</v>
      </c>
      <c r="H1060" s="36"/>
      <c r="I1060" s="36"/>
      <c r="J1060" s="37"/>
    </row>
    <row r="1061" spans="4:10">
      <c r="D1061" s="34">
        <v>44460</v>
      </c>
      <c r="E1061">
        <v>7.8335610000000004</v>
      </c>
      <c r="G1061" s="35">
        <v>795.35</v>
      </c>
      <c r="H1061" s="36"/>
      <c r="I1061" s="36"/>
      <c r="J1061" s="37"/>
    </row>
    <row r="1062" spans="4:10">
      <c r="D1062" s="34">
        <v>44459</v>
      </c>
      <c r="E1062">
        <v>6.3064840000000002</v>
      </c>
      <c r="G1062" s="35">
        <v>795.85</v>
      </c>
      <c r="H1062" s="36"/>
      <c r="I1062" s="36"/>
      <c r="J1062" s="37"/>
    </row>
    <row r="1063" spans="4:10">
      <c r="D1063" s="34">
        <v>44456</v>
      </c>
      <c r="E1063">
        <v>14.641298000000001</v>
      </c>
      <c r="G1063" s="35">
        <v>807.35</v>
      </c>
      <c r="H1063" s="36"/>
      <c r="I1063" s="36"/>
      <c r="J1063" s="37"/>
    </row>
    <row r="1064" spans="4:10">
      <c r="D1064" s="34">
        <v>44455</v>
      </c>
      <c r="E1064">
        <v>15.446510999999999</v>
      </c>
      <c r="G1064" s="35">
        <v>802.6</v>
      </c>
      <c r="H1064" s="36"/>
      <c r="I1064" s="36"/>
      <c r="J1064" s="37"/>
    </row>
    <row r="1065" spans="4:10">
      <c r="D1065" s="34">
        <v>44454</v>
      </c>
      <c r="E1065">
        <v>4.0755920000000003</v>
      </c>
      <c r="G1065" s="35">
        <v>791.4</v>
      </c>
      <c r="H1065" s="36"/>
      <c r="I1065" s="36"/>
      <c r="J1065" s="37"/>
    </row>
    <row r="1066" spans="4:10">
      <c r="D1066" s="34">
        <v>44453</v>
      </c>
      <c r="E1066">
        <v>6.3012079999999999</v>
      </c>
      <c r="G1066" s="35">
        <v>794.4</v>
      </c>
      <c r="H1066" s="36"/>
      <c r="I1066" s="36"/>
      <c r="J1066" s="37"/>
    </row>
    <row r="1067" spans="4:10">
      <c r="D1067" s="34">
        <v>44452</v>
      </c>
      <c r="E1067">
        <v>4.8144429999999998</v>
      </c>
      <c r="G1067" s="35">
        <v>788.35</v>
      </c>
      <c r="H1067" s="36"/>
      <c r="I1067" s="36"/>
      <c r="J1067" s="37"/>
    </row>
    <row r="1068" spans="4:10">
      <c r="D1068" s="34">
        <v>44448</v>
      </c>
      <c r="E1068">
        <v>4.9093249999999999</v>
      </c>
      <c r="G1068" s="35">
        <v>790.15</v>
      </c>
      <c r="H1068" s="36"/>
      <c r="I1068" s="36"/>
      <c r="J1068" s="37"/>
    </row>
    <row r="1069" spans="4:10">
      <c r="D1069" s="34">
        <v>44447</v>
      </c>
      <c r="E1069">
        <v>5.903035</v>
      </c>
      <c r="G1069" s="35">
        <v>794.7</v>
      </c>
      <c r="H1069" s="36"/>
      <c r="I1069" s="36"/>
      <c r="J1069" s="37"/>
    </row>
    <row r="1070" spans="4:10">
      <c r="D1070" s="34">
        <v>44446</v>
      </c>
      <c r="E1070">
        <v>6.9269210000000001</v>
      </c>
      <c r="G1070" s="35">
        <v>787.85</v>
      </c>
      <c r="H1070" s="36"/>
      <c r="I1070" s="36"/>
      <c r="J1070" s="37"/>
    </row>
    <row r="1071" spans="4:10">
      <c r="D1071" s="34">
        <v>44445</v>
      </c>
      <c r="E1071">
        <v>4.5391919999999999</v>
      </c>
      <c r="G1071" s="35">
        <v>800.8</v>
      </c>
      <c r="H1071" s="36"/>
      <c r="I1071" s="36"/>
      <c r="J1071" s="37"/>
    </row>
    <row r="1072" spans="4:10">
      <c r="D1072" s="34">
        <v>44442</v>
      </c>
      <c r="E1072">
        <v>7.5097459999999998</v>
      </c>
      <c r="G1072" s="35">
        <v>798</v>
      </c>
      <c r="H1072" s="36"/>
      <c r="I1072" s="36"/>
      <c r="J1072" s="37"/>
    </row>
    <row r="1073" spans="4:10">
      <c r="D1073" s="34">
        <v>44441</v>
      </c>
      <c r="E1073">
        <v>6.7996169999999996</v>
      </c>
      <c r="G1073" s="35">
        <v>802.7</v>
      </c>
      <c r="H1073" s="36"/>
      <c r="I1073" s="36"/>
      <c r="J1073" s="37"/>
    </row>
    <row r="1074" spans="4:10">
      <c r="D1074" s="34">
        <v>44440</v>
      </c>
      <c r="E1074">
        <v>19.972194999999999</v>
      </c>
      <c r="G1074" s="35">
        <v>798.9</v>
      </c>
      <c r="H1074" s="36"/>
      <c r="I1074" s="36"/>
      <c r="J1074" s="37"/>
    </row>
    <row r="1075" spans="4:10">
      <c r="D1075" s="34">
        <v>44439</v>
      </c>
      <c r="E1075">
        <v>12.11487</v>
      </c>
      <c r="G1075" s="35">
        <v>786.5</v>
      </c>
      <c r="H1075" s="36"/>
      <c r="I1075" s="36"/>
      <c r="J1075" s="37"/>
    </row>
    <row r="1076" spans="4:10">
      <c r="D1076" s="34">
        <v>44438</v>
      </c>
      <c r="E1076">
        <v>12.517507</v>
      </c>
      <c r="G1076" s="35">
        <v>784.05</v>
      </c>
      <c r="H1076" s="36"/>
      <c r="I1076" s="36"/>
      <c r="J1076" s="37"/>
    </row>
    <row r="1077" spans="4:10">
      <c r="D1077" s="34">
        <v>44435</v>
      </c>
      <c r="E1077">
        <v>5.8419670000000004</v>
      </c>
      <c r="G1077" s="35">
        <v>752.4</v>
      </c>
      <c r="H1077" s="36"/>
      <c r="I1077" s="36"/>
      <c r="J1077" s="37"/>
    </row>
    <row r="1078" spans="4:10">
      <c r="D1078" s="34">
        <v>44434</v>
      </c>
      <c r="E1078">
        <v>6.4921550000000003</v>
      </c>
      <c r="G1078" s="35">
        <v>746.35</v>
      </c>
      <c r="H1078" s="36"/>
      <c r="I1078" s="36"/>
      <c r="J1078" s="37"/>
    </row>
    <row r="1079" spans="4:10">
      <c r="D1079" s="34">
        <v>44433</v>
      </c>
      <c r="E1079">
        <v>6.7265090000000001</v>
      </c>
      <c r="G1079" s="35">
        <v>739.05</v>
      </c>
      <c r="H1079" s="36"/>
      <c r="I1079" s="36"/>
      <c r="J1079" s="37"/>
    </row>
    <row r="1080" spans="4:10">
      <c r="D1080" s="34">
        <v>44432</v>
      </c>
      <c r="E1080">
        <v>4.5374350000000003</v>
      </c>
      <c r="G1080" s="35">
        <v>746.35</v>
      </c>
      <c r="H1080" s="36"/>
      <c r="I1080" s="36"/>
      <c r="J1080" s="37"/>
    </row>
    <row r="1081" spans="4:10">
      <c r="D1081" s="34">
        <v>44431</v>
      </c>
      <c r="E1081">
        <v>3.6147610000000001</v>
      </c>
      <c r="G1081" s="35">
        <v>736.1</v>
      </c>
      <c r="H1081" s="36"/>
      <c r="I1081" s="36"/>
      <c r="J1081" s="37"/>
    </row>
    <row r="1082" spans="4:10">
      <c r="D1082" s="34">
        <v>44428</v>
      </c>
      <c r="E1082">
        <v>6.0920360000000002</v>
      </c>
      <c r="G1082" s="35">
        <v>740.25</v>
      </c>
      <c r="H1082" s="36"/>
      <c r="I1082" s="36"/>
      <c r="J1082" s="37"/>
    </row>
    <row r="1083" spans="4:10">
      <c r="D1083" s="34">
        <v>44426</v>
      </c>
      <c r="E1083">
        <v>5.3704599999999996</v>
      </c>
      <c r="G1083" s="35">
        <v>754.4</v>
      </c>
      <c r="H1083" s="36"/>
      <c r="I1083" s="36"/>
      <c r="J1083" s="37"/>
    </row>
    <row r="1084" spans="4:10">
      <c r="D1084" s="34">
        <v>44425</v>
      </c>
      <c r="E1084">
        <v>5.5761099999999999</v>
      </c>
      <c r="G1084" s="35">
        <v>756.75</v>
      </c>
      <c r="H1084" s="36"/>
      <c r="I1084" s="36"/>
      <c r="J1084" s="37"/>
    </row>
    <row r="1085" spans="4:10">
      <c r="D1085" s="34">
        <v>44424</v>
      </c>
      <c r="E1085">
        <v>3.9676290000000001</v>
      </c>
      <c r="G1085" s="35">
        <v>762</v>
      </c>
      <c r="H1085" s="36"/>
      <c r="I1085" s="36"/>
      <c r="J1085" s="37"/>
    </row>
    <row r="1086" spans="4:10">
      <c r="D1086" s="34">
        <v>44421</v>
      </c>
      <c r="E1086">
        <v>4.239376</v>
      </c>
      <c r="G1086" s="35">
        <v>759.9</v>
      </c>
      <c r="H1086" s="36"/>
      <c r="I1086" s="36"/>
      <c r="J1086" s="37"/>
    </row>
    <row r="1087" spans="4:10">
      <c r="D1087" s="34">
        <v>44420</v>
      </c>
      <c r="E1087">
        <v>3.5720809999999998</v>
      </c>
      <c r="G1087" s="35">
        <v>757.35</v>
      </c>
      <c r="H1087" s="36"/>
      <c r="I1087" s="36"/>
      <c r="J1087" s="37"/>
    </row>
    <row r="1088" spans="4:10">
      <c r="D1088" s="34">
        <v>44419</v>
      </c>
      <c r="E1088">
        <v>6.429468</v>
      </c>
      <c r="G1088" s="35">
        <v>760.8</v>
      </c>
      <c r="H1088" s="36"/>
      <c r="I1088" s="36"/>
      <c r="J1088" s="37"/>
    </row>
    <row r="1089" spans="4:10">
      <c r="D1089" s="34">
        <v>44418</v>
      </c>
      <c r="E1089">
        <v>8.3092480000000002</v>
      </c>
      <c r="G1089" s="35">
        <v>761.55</v>
      </c>
      <c r="H1089" s="36"/>
      <c r="I1089" s="36"/>
      <c r="J1089" s="37"/>
    </row>
    <row r="1090" spans="4:10">
      <c r="D1090" s="34">
        <v>44417</v>
      </c>
      <c r="E1090">
        <v>6.0646880000000003</v>
      </c>
      <c r="G1090" s="35">
        <v>755.5</v>
      </c>
      <c r="H1090" s="36"/>
      <c r="I1090" s="36"/>
      <c r="J1090" s="37"/>
    </row>
    <row r="1091" spans="4:10">
      <c r="D1091" s="34">
        <v>44414</v>
      </c>
      <c r="E1091">
        <v>6.5225989999999996</v>
      </c>
      <c r="G1091" s="35">
        <v>740.85</v>
      </c>
      <c r="H1091" s="36"/>
      <c r="I1091" s="36"/>
      <c r="J1091" s="37"/>
    </row>
    <row r="1092" spans="4:10">
      <c r="D1092" s="34">
        <v>44413</v>
      </c>
      <c r="E1092">
        <v>7.2469910000000004</v>
      </c>
      <c r="G1092" s="35">
        <v>749.3</v>
      </c>
      <c r="H1092" s="36"/>
      <c r="I1092" s="36"/>
      <c r="J1092" s="37"/>
    </row>
    <row r="1093" spans="4:10">
      <c r="D1093" s="34">
        <v>44412</v>
      </c>
      <c r="E1093">
        <v>9.7443489999999997</v>
      </c>
      <c r="G1093" s="35">
        <v>753.8</v>
      </c>
      <c r="H1093" s="36"/>
      <c r="I1093" s="36"/>
      <c r="J1093" s="37"/>
    </row>
    <row r="1094" spans="4:10">
      <c r="D1094" s="34">
        <v>44411</v>
      </c>
      <c r="E1094">
        <v>9.2658389999999997</v>
      </c>
      <c r="G1094" s="35">
        <v>738.6</v>
      </c>
      <c r="H1094" s="36"/>
      <c r="I1094" s="36"/>
      <c r="J1094" s="37"/>
    </row>
    <row r="1095" spans="4:10">
      <c r="D1095" s="34">
        <v>44410</v>
      </c>
      <c r="E1095">
        <v>6.8233449999999998</v>
      </c>
      <c r="G1095" s="35">
        <v>721.15</v>
      </c>
      <c r="H1095" s="36"/>
      <c r="I1095" s="36"/>
      <c r="J1095" s="37"/>
    </row>
    <row r="1096" spans="4:10">
      <c r="D1096" s="34">
        <v>44407</v>
      </c>
      <c r="E1096">
        <v>10.358449999999999</v>
      </c>
      <c r="G1096" s="35">
        <v>708.9</v>
      </c>
      <c r="H1096" s="36"/>
      <c r="I1096" s="36"/>
      <c r="J1096" s="37"/>
    </row>
    <row r="1097" spans="4:10">
      <c r="D1097" s="34">
        <v>44406</v>
      </c>
      <c r="E1097">
        <v>6.8556730000000003</v>
      </c>
      <c r="G1097" s="35">
        <v>717.25</v>
      </c>
      <c r="H1097" s="36"/>
      <c r="I1097" s="36"/>
      <c r="J1097" s="37"/>
    </row>
    <row r="1098" spans="4:10">
      <c r="D1098" s="34">
        <v>44405</v>
      </c>
      <c r="E1098">
        <v>11.102486000000001</v>
      </c>
      <c r="G1098" s="35">
        <v>722.9</v>
      </c>
      <c r="H1098" s="36"/>
      <c r="I1098" s="36"/>
      <c r="J1098" s="37"/>
    </row>
    <row r="1099" spans="4:10">
      <c r="D1099" s="34">
        <v>44404</v>
      </c>
      <c r="E1099">
        <v>15.441542999999999</v>
      </c>
      <c r="G1099" s="35">
        <v>731.7</v>
      </c>
      <c r="H1099" s="36"/>
      <c r="I1099" s="36"/>
      <c r="J1099" s="37"/>
    </row>
    <row r="1100" spans="4:10">
      <c r="D1100" s="34">
        <v>44403</v>
      </c>
      <c r="E1100">
        <v>7.8909919999999998</v>
      </c>
      <c r="G1100" s="35">
        <v>756.3</v>
      </c>
      <c r="H1100" s="36"/>
      <c r="I1100" s="36"/>
      <c r="J1100" s="37"/>
    </row>
    <row r="1101" spans="4:10">
      <c r="D1101" s="34">
        <v>44400</v>
      </c>
      <c r="E1101">
        <v>6.6044650000000003</v>
      </c>
      <c r="G1101" s="35">
        <v>755.4</v>
      </c>
      <c r="H1101" s="36"/>
      <c r="I1101" s="36"/>
      <c r="J1101" s="37"/>
    </row>
    <row r="1102" spans="4:10">
      <c r="D1102" s="34">
        <v>44399</v>
      </c>
      <c r="E1102">
        <v>7.876163</v>
      </c>
      <c r="G1102" s="35">
        <v>746.75</v>
      </c>
      <c r="H1102" s="36"/>
      <c r="I1102" s="36"/>
      <c r="J1102" s="37"/>
    </row>
    <row r="1103" spans="4:10">
      <c r="D1103" s="34">
        <v>44397</v>
      </c>
      <c r="E1103">
        <v>5.8157399999999999</v>
      </c>
      <c r="G1103" s="35">
        <v>745.75</v>
      </c>
      <c r="H1103" s="36"/>
      <c r="I1103" s="36"/>
      <c r="J1103" s="37"/>
    </row>
    <row r="1104" spans="4:10">
      <c r="D1104" s="34">
        <v>44396</v>
      </c>
      <c r="E1104">
        <v>5.5544859999999998</v>
      </c>
      <c r="G1104" s="35">
        <v>755.2</v>
      </c>
      <c r="H1104" s="36"/>
      <c r="I1104" s="36"/>
      <c r="J1104" s="37"/>
    </row>
    <row r="1105" spans="4:10">
      <c r="D1105" s="34">
        <v>44393</v>
      </c>
      <c r="E1105">
        <v>2.9135529999999998</v>
      </c>
      <c r="G1105" s="35">
        <v>771.15</v>
      </c>
      <c r="H1105" s="36"/>
      <c r="I1105" s="36"/>
      <c r="J1105" s="37"/>
    </row>
    <row r="1106" spans="4:10">
      <c r="D1106" s="34">
        <v>44392</v>
      </c>
      <c r="E1106">
        <v>4.2398680000000004</v>
      </c>
      <c r="G1106" s="35">
        <v>774.15</v>
      </c>
      <c r="H1106" s="36"/>
      <c r="I1106" s="36"/>
      <c r="J1106" s="37"/>
    </row>
    <row r="1107" spans="4:10">
      <c r="D1107" s="34">
        <v>44391</v>
      </c>
      <c r="E1107">
        <v>5.6219239999999999</v>
      </c>
      <c r="G1107" s="35">
        <v>770.05</v>
      </c>
      <c r="H1107" s="36"/>
      <c r="I1107" s="36"/>
      <c r="J1107" s="37"/>
    </row>
    <row r="1108" spans="4:10">
      <c r="D1108" s="34">
        <v>44390</v>
      </c>
      <c r="E1108">
        <v>9.8109760000000001</v>
      </c>
      <c r="G1108" s="35">
        <v>770.75</v>
      </c>
      <c r="H1108" s="36"/>
      <c r="I1108" s="36"/>
      <c r="J1108" s="37"/>
    </row>
    <row r="1109" spans="4:10">
      <c r="D1109" s="34">
        <v>44389</v>
      </c>
      <c r="E1109">
        <v>4.4754659999999999</v>
      </c>
      <c r="G1109" s="35">
        <v>753.6</v>
      </c>
      <c r="H1109" s="36"/>
      <c r="I1109" s="36"/>
      <c r="J1109" s="37"/>
    </row>
    <row r="1110" spans="4:10">
      <c r="D1110" s="34">
        <v>44386</v>
      </c>
      <c r="E1110">
        <v>5.7821189999999998</v>
      </c>
      <c r="G1110" s="35">
        <v>747.35</v>
      </c>
      <c r="H1110" s="36"/>
      <c r="I1110" s="36"/>
      <c r="J1110" s="37"/>
    </row>
    <row r="1111" spans="4:10">
      <c r="D1111" s="34">
        <v>44385</v>
      </c>
      <c r="E1111">
        <v>4.1882669999999997</v>
      </c>
      <c r="G1111" s="35">
        <v>754.4</v>
      </c>
      <c r="H1111" s="36"/>
      <c r="I1111" s="36"/>
      <c r="J1111" s="37"/>
    </row>
    <row r="1112" spans="4:10">
      <c r="D1112" s="34">
        <v>44384</v>
      </c>
      <c r="E1112">
        <v>3.5733679999999999</v>
      </c>
      <c r="G1112" s="35">
        <v>762.9</v>
      </c>
      <c r="H1112" s="36"/>
      <c r="I1112" s="36"/>
      <c r="J1112" s="37"/>
    </row>
    <row r="1113" spans="4:10">
      <c r="D1113" s="34">
        <v>44383</v>
      </c>
      <c r="E1113">
        <v>5.5294850000000002</v>
      </c>
      <c r="G1113" s="35">
        <v>758.35</v>
      </c>
      <c r="H1113" s="36"/>
      <c r="I1113" s="36"/>
      <c r="J1113" s="37"/>
    </row>
    <row r="1114" spans="4:10">
      <c r="D1114" s="34">
        <v>44382</v>
      </c>
      <c r="E1114">
        <v>4.6800889999999997</v>
      </c>
      <c r="G1114" s="35">
        <v>760.35</v>
      </c>
      <c r="H1114" s="36"/>
      <c r="I1114" s="36"/>
      <c r="J1114" s="37"/>
    </row>
    <row r="1115" spans="4:10">
      <c r="D1115" s="34">
        <v>44379</v>
      </c>
      <c r="E1115">
        <v>3.5576469999999998</v>
      </c>
      <c r="G1115" s="35">
        <v>750.65</v>
      </c>
      <c r="H1115" s="36"/>
      <c r="I1115" s="36"/>
      <c r="J1115" s="37"/>
    </row>
    <row r="1116" spans="4:10">
      <c r="D1116" s="34">
        <v>44378</v>
      </c>
      <c r="E1116">
        <v>5.6956899999999999</v>
      </c>
      <c r="G1116" s="35">
        <v>746.45</v>
      </c>
      <c r="H1116" s="36"/>
      <c r="I1116" s="36"/>
      <c r="J1116" s="37"/>
    </row>
    <row r="1117" spans="4:10">
      <c r="D1117" s="34">
        <v>44377</v>
      </c>
      <c r="E1117">
        <v>5.4599700000000002</v>
      </c>
      <c r="G1117" s="35">
        <v>748.3</v>
      </c>
      <c r="H1117" s="36"/>
      <c r="I1117" s="36"/>
      <c r="J1117" s="37"/>
    </row>
    <row r="1118" spans="4:10">
      <c r="D1118" s="34">
        <v>44376</v>
      </c>
      <c r="E1118">
        <v>7.5006550000000001</v>
      </c>
      <c r="G1118" s="35">
        <v>751.95</v>
      </c>
      <c r="H1118" s="36"/>
      <c r="I1118" s="36"/>
      <c r="J1118" s="37"/>
    </row>
    <row r="1119" spans="4:10">
      <c r="D1119" s="34">
        <v>44375</v>
      </c>
      <c r="E1119">
        <v>7.6727429999999996</v>
      </c>
      <c r="G1119" s="35">
        <v>762.4</v>
      </c>
      <c r="H1119" s="36"/>
      <c r="I1119" s="36"/>
      <c r="J1119" s="37"/>
    </row>
    <row r="1120" spans="4:10">
      <c r="D1120" s="34">
        <v>44372</v>
      </c>
      <c r="E1120">
        <v>11.170037000000001</v>
      </c>
      <c r="G1120" s="35">
        <v>761.35</v>
      </c>
      <c r="H1120" s="36"/>
      <c r="I1120" s="36"/>
      <c r="J1120" s="37"/>
    </row>
    <row r="1121" spans="4:10">
      <c r="D1121" s="34">
        <v>44371</v>
      </c>
      <c r="E1121">
        <v>5.313822</v>
      </c>
      <c r="G1121" s="35">
        <v>739.15</v>
      </c>
      <c r="H1121" s="36"/>
      <c r="I1121" s="36"/>
      <c r="J1121" s="37"/>
    </row>
    <row r="1122" spans="4:10">
      <c r="D1122" s="34">
        <v>44370</v>
      </c>
      <c r="E1122">
        <v>6.154147</v>
      </c>
      <c r="G1122" s="35">
        <v>732.35</v>
      </c>
      <c r="H1122" s="36"/>
      <c r="I1122" s="36"/>
      <c r="J1122" s="37"/>
    </row>
    <row r="1123" spans="4:10">
      <c r="D1123" s="34">
        <v>44369</v>
      </c>
      <c r="E1123">
        <v>6.727233</v>
      </c>
      <c r="G1123" s="35">
        <v>739.35</v>
      </c>
      <c r="H1123" s="36"/>
      <c r="I1123" s="36"/>
      <c r="J1123" s="37"/>
    </row>
    <row r="1124" spans="4:10">
      <c r="D1124" s="34">
        <v>44368</v>
      </c>
      <c r="E1124">
        <v>6.4644969999999997</v>
      </c>
      <c r="G1124" s="35">
        <v>739.55</v>
      </c>
      <c r="H1124" s="36"/>
      <c r="I1124" s="36"/>
      <c r="J1124" s="37"/>
    </row>
    <row r="1125" spans="4:10">
      <c r="D1125" s="34">
        <v>44365</v>
      </c>
      <c r="E1125">
        <v>8.1437919999999995</v>
      </c>
      <c r="G1125" s="35">
        <v>736.3</v>
      </c>
      <c r="H1125" s="36"/>
      <c r="I1125" s="36"/>
      <c r="J1125" s="37"/>
    </row>
    <row r="1126" spans="4:10">
      <c r="D1126" s="34">
        <v>44364</v>
      </c>
      <c r="E1126">
        <v>6.6743290000000002</v>
      </c>
      <c r="G1126" s="35">
        <v>738.6</v>
      </c>
      <c r="H1126" s="36"/>
      <c r="I1126" s="36"/>
      <c r="J1126" s="37"/>
    </row>
    <row r="1127" spans="4:10">
      <c r="D1127" s="34">
        <v>44363</v>
      </c>
      <c r="E1127">
        <v>8.614096</v>
      </c>
      <c r="G1127" s="35">
        <v>749.8</v>
      </c>
      <c r="H1127" s="36"/>
      <c r="I1127" s="36"/>
      <c r="J1127" s="37"/>
    </row>
    <row r="1128" spans="4:10">
      <c r="D1128" s="34">
        <v>44362</v>
      </c>
      <c r="E1128">
        <v>9.6864899999999992</v>
      </c>
      <c r="G1128" s="35">
        <v>750.9</v>
      </c>
      <c r="H1128" s="36"/>
      <c r="I1128" s="36"/>
      <c r="J1128" s="37"/>
    </row>
    <row r="1129" spans="4:10">
      <c r="D1129" s="34">
        <v>44361</v>
      </c>
      <c r="E1129">
        <v>5.1906699999999999</v>
      </c>
      <c r="G1129" s="35">
        <v>736.25</v>
      </c>
      <c r="H1129" s="36"/>
      <c r="I1129" s="36"/>
      <c r="J1129" s="37"/>
    </row>
    <row r="1130" spans="4:10">
      <c r="D1130" s="34">
        <v>44358</v>
      </c>
      <c r="E1130">
        <v>4.8407590000000003</v>
      </c>
      <c r="G1130" s="35">
        <v>738.45</v>
      </c>
      <c r="H1130" s="36"/>
      <c r="I1130" s="36"/>
      <c r="J1130" s="37"/>
    </row>
    <row r="1131" spans="4:10">
      <c r="D1131" s="34">
        <v>44357</v>
      </c>
      <c r="E1131">
        <v>7.7951249999999996</v>
      </c>
      <c r="G1131" s="35">
        <v>744.25</v>
      </c>
      <c r="H1131" s="36"/>
      <c r="I1131" s="36"/>
      <c r="J1131" s="37"/>
    </row>
    <row r="1132" spans="4:10">
      <c r="D1132" s="34">
        <v>44356</v>
      </c>
      <c r="E1132">
        <v>8.0047259999999998</v>
      </c>
      <c r="G1132" s="35">
        <v>736.75</v>
      </c>
      <c r="H1132" s="36"/>
      <c r="I1132" s="36"/>
      <c r="J1132" s="37"/>
    </row>
    <row r="1133" spans="4:10">
      <c r="D1133" s="34">
        <v>44355</v>
      </c>
      <c r="E1133">
        <v>6.4268150000000004</v>
      </c>
      <c r="G1133" s="35">
        <v>746.35</v>
      </c>
      <c r="H1133" s="36"/>
      <c r="I1133" s="36"/>
      <c r="J1133" s="37"/>
    </row>
    <row r="1134" spans="4:10">
      <c r="D1134" s="34">
        <v>44354</v>
      </c>
      <c r="E1134">
        <v>6.9867280000000003</v>
      </c>
      <c r="G1134" s="35">
        <v>751.1</v>
      </c>
      <c r="H1134" s="36"/>
      <c r="I1134" s="36"/>
      <c r="J1134" s="37"/>
    </row>
    <row r="1135" spans="4:10">
      <c r="D1135" s="34">
        <v>44351</v>
      </c>
      <c r="E1135">
        <v>10.336010999999999</v>
      </c>
      <c r="G1135" s="35">
        <v>742.05</v>
      </c>
      <c r="H1135" s="36"/>
      <c r="I1135" s="36"/>
      <c r="J1135" s="37"/>
    </row>
    <row r="1136" spans="4:10">
      <c r="D1136" s="34">
        <v>44350</v>
      </c>
      <c r="E1136">
        <v>8.1705079999999999</v>
      </c>
      <c r="G1136" s="35">
        <v>750.65</v>
      </c>
      <c r="H1136" s="36"/>
      <c r="I1136" s="36"/>
      <c r="J1136" s="37"/>
    </row>
    <row r="1137" spans="4:10">
      <c r="D1137" s="34">
        <v>44349</v>
      </c>
      <c r="E1137">
        <v>9.9730430000000005</v>
      </c>
      <c r="G1137" s="35">
        <v>737</v>
      </c>
      <c r="H1137" s="36"/>
      <c r="I1137" s="36"/>
      <c r="J1137" s="37"/>
    </row>
    <row r="1138" spans="4:10">
      <c r="D1138" s="34">
        <v>44348</v>
      </c>
      <c r="E1138">
        <v>6.6602430000000004</v>
      </c>
      <c r="G1138" s="35">
        <v>745.15</v>
      </c>
      <c r="H1138" s="36"/>
      <c r="I1138" s="36"/>
      <c r="J1138" s="37"/>
    </row>
    <row r="1139" spans="4:10">
      <c r="D1139" s="34">
        <v>44347</v>
      </c>
      <c r="E1139">
        <v>9.2750859999999999</v>
      </c>
      <c r="G1139" s="35">
        <v>750.7</v>
      </c>
      <c r="H1139" s="36"/>
      <c r="I1139" s="36"/>
      <c r="J1139" s="37"/>
    </row>
    <row r="1140" spans="4:10">
      <c r="D1140" s="34">
        <v>44344</v>
      </c>
      <c r="E1140">
        <v>17.149692000000002</v>
      </c>
      <c r="G1140" s="35">
        <v>739.85</v>
      </c>
      <c r="H1140" s="36"/>
      <c r="I1140" s="36"/>
      <c r="J1140" s="37"/>
    </row>
    <row r="1141" spans="4:10">
      <c r="D1141" s="34">
        <v>44343</v>
      </c>
      <c r="E1141">
        <v>23.040845999999998</v>
      </c>
      <c r="G1141" s="35">
        <v>750.35</v>
      </c>
      <c r="H1141" s="36"/>
      <c r="I1141" s="36"/>
      <c r="J1141" s="37"/>
    </row>
    <row r="1142" spans="4:10">
      <c r="D1142" s="34">
        <v>44342</v>
      </c>
      <c r="E1142">
        <v>9.0810860000000009</v>
      </c>
      <c r="G1142" s="35">
        <v>735.1</v>
      </c>
      <c r="H1142" s="36"/>
      <c r="I1142" s="36"/>
      <c r="J1142" s="37"/>
    </row>
    <row r="1143" spans="4:10">
      <c r="D1143" s="34">
        <v>44341</v>
      </c>
      <c r="E1143">
        <v>11.344260999999999</v>
      </c>
      <c r="G1143" s="35">
        <v>731.55</v>
      </c>
      <c r="H1143" s="36"/>
      <c r="I1143" s="36"/>
      <c r="J1143" s="37"/>
    </row>
    <row r="1144" spans="4:10">
      <c r="D1144" s="34">
        <v>44340</v>
      </c>
      <c r="E1144">
        <v>15.716900000000001</v>
      </c>
      <c r="G1144" s="35">
        <v>741.15</v>
      </c>
      <c r="H1144" s="36"/>
      <c r="I1144" s="36"/>
      <c r="J1144" s="37"/>
    </row>
    <row r="1145" spans="4:10">
      <c r="D1145" s="34">
        <v>44337</v>
      </c>
      <c r="E1145">
        <v>15.883692</v>
      </c>
      <c r="G1145" s="35">
        <v>730.9</v>
      </c>
      <c r="H1145" s="36"/>
      <c r="I1145" s="36"/>
      <c r="J1145" s="37"/>
    </row>
    <row r="1146" spans="4:10">
      <c r="D1146" s="34">
        <v>44336</v>
      </c>
      <c r="E1146">
        <v>18.840413000000002</v>
      </c>
      <c r="G1146" s="35">
        <v>705.9</v>
      </c>
      <c r="H1146" s="36"/>
      <c r="I1146" s="36"/>
      <c r="J1146" s="37"/>
    </row>
    <row r="1147" spans="4:10">
      <c r="D1147" s="34">
        <v>44335</v>
      </c>
      <c r="E1147">
        <v>20.244015999999998</v>
      </c>
      <c r="G1147" s="35">
        <v>716.8</v>
      </c>
      <c r="H1147" s="36"/>
      <c r="I1147" s="36"/>
      <c r="J1147" s="37"/>
    </row>
    <row r="1148" spans="4:10">
      <c r="D1148" s="34">
        <v>44334</v>
      </c>
      <c r="E1148">
        <v>19.519055000000002</v>
      </c>
      <c r="G1148" s="35">
        <v>711.65</v>
      </c>
      <c r="H1148" s="36"/>
      <c r="I1148" s="36"/>
      <c r="J1148" s="37"/>
    </row>
    <row r="1149" spans="4:10">
      <c r="D1149" s="34">
        <v>44333</v>
      </c>
      <c r="E1149">
        <v>12.099197</v>
      </c>
      <c r="G1149" s="35">
        <v>709.25</v>
      </c>
      <c r="H1149" s="36"/>
      <c r="I1149" s="36"/>
      <c r="J1149" s="37"/>
    </row>
    <row r="1150" spans="4:10">
      <c r="D1150" s="34">
        <v>44330</v>
      </c>
      <c r="E1150">
        <v>9.3779679999999992</v>
      </c>
      <c r="G1150" s="35">
        <v>685</v>
      </c>
      <c r="H1150" s="36"/>
      <c r="I1150" s="36"/>
      <c r="J1150" s="37"/>
    </row>
    <row r="1151" spans="4:10">
      <c r="D1151" s="34">
        <v>44328</v>
      </c>
      <c r="E1151">
        <v>10.856584</v>
      </c>
      <c r="G1151" s="35">
        <v>691.3</v>
      </c>
      <c r="H1151" s="36"/>
      <c r="I1151" s="36"/>
      <c r="J1151" s="37"/>
    </row>
    <row r="1152" spans="4:10">
      <c r="D1152" s="34">
        <v>44327</v>
      </c>
      <c r="E1152">
        <v>12.736700000000001</v>
      </c>
      <c r="G1152" s="35">
        <v>707.35</v>
      </c>
      <c r="H1152" s="36"/>
      <c r="I1152" s="36"/>
      <c r="J1152" s="37"/>
    </row>
    <row r="1153" spans="4:10">
      <c r="D1153" s="34">
        <v>44326</v>
      </c>
      <c r="E1153">
        <v>7.9804620000000002</v>
      </c>
      <c r="G1153" s="35">
        <v>715.25</v>
      </c>
      <c r="H1153" s="36"/>
      <c r="I1153" s="36"/>
      <c r="J1153" s="37"/>
    </row>
    <row r="1154" spans="4:10">
      <c r="D1154" s="34">
        <v>44323</v>
      </c>
      <c r="E1154">
        <v>7.1319699999999999</v>
      </c>
      <c r="G1154" s="35">
        <v>716.75</v>
      </c>
      <c r="H1154" s="36"/>
      <c r="I1154" s="36"/>
      <c r="J1154" s="37"/>
    </row>
    <row r="1155" spans="4:10">
      <c r="D1155" s="34">
        <v>44322</v>
      </c>
      <c r="E1155">
        <v>9.4849340000000009</v>
      </c>
      <c r="G1155" s="35">
        <v>715.75</v>
      </c>
      <c r="H1155" s="36"/>
      <c r="I1155" s="36"/>
      <c r="J1155" s="37"/>
    </row>
    <row r="1156" spans="4:10">
      <c r="D1156" s="34">
        <v>44321</v>
      </c>
      <c r="E1156">
        <v>11.155033</v>
      </c>
      <c r="G1156" s="35">
        <v>717.2</v>
      </c>
      <c r="H1156" s="36"/>
      <c r="I1156" s="36"/>
      <c r="J1156" s="37"/>
    </row>
    <row r="1157" spans="4:10">
      <c r="D1157" s="34">
        <v>44320</v>
      </c>
      <c r="E1157">
        <v>11.980155</v>
      </c>
      <c r="G1157" s="35">
        <v>700.35</v>
      </c>
      <c r="H1157" s="36"/>
      <c r="I1157" s="36"/>
      <c r="J1157" s="37"/>
    </row>
    <row r="1158" spans="4:10">
      <c r="D1158" s="34">
        <v>44319</v>
      </c>
      <c r="E1158">
        <v>13.752878000000001</v>
      </c>
      <c r="G1158" s="35">
        <v>702.75</v>
      </c>
      <c r="H1158" s="36"/>
      <c r="I1158" s="36"/>
      <c r="J1158" s="37"/>
    </row>
    <row r="1159" spans="4:10">
      <c r="D1159" s="34">
        <v>44316</v>
      </c>
      <c r="E1159">
        <v>23.011654</v>
      </c>
      <c r="G1159" s="35">
        <v>714.9</v>
      </c>
      <c r="H1159" s="36"/>
      <c r="I1159" s="36"/>
      <c r="J1159" s="37"/>
    </row>
    <row r="1160" spans="4:10">
      <c r="D1160" s="34">
        <v>44315</v>
      </c>
      <c r="E1160">
        <v>25.939326999999999</v>
      </c>
      <c r="G1160" s="35">
        <v>719.4</v>
      </c>
      <c r="H1160" s="36"/>
      <c r="I1160" s="36"/>
      <c r="J1160" s="37"/>
    </row>
    <row r="1161" spans="4:10">
      <c r="D1161" s="34">
        <v>44314</v>
      </c>
      <c r="E1161">
        <v>54.060586999999998</v>
      </c>
      <c r="G1161" s="35">
        <v>708.15</v>
      </c>
      <c r="H1161" s="36"/>
      <c r="I1161" s="36"/>
      <c r="J1161" s="37"/>
    </row>
    <row r="1162" spans="4:10">
      <c r="D1162" s="34">
        <v>44313</v>
      </c>
      <c r="E1162">
        <v>46.559967</v>
      </c>
      <c r="G1162" s="35">
        <v>699.55</v>
      </c>
      <c r="H1162" s="36"/>
      <c r="I1162" s="36"/>
      <c r="J1162" s="37"/>
    </row>
    <row r="1163" spans="4:10">
      <c r="D1163" s="34">
        <v>44312</v>
      </c>
      <c r="E1163">
        <v>21.646184000000002</v>
      </c>
      <c r="G1163" s="35">
        <v>700.45</v>
      </c>
      <c r="H1163" s="36"/>
      <c r="I1163" s="36"/>
      <c r="J1163" s="37"/>
    </row>
    <row r="1164" spans="4:10">
      <c r="D1164" s="34">
        <v>44309</v>
      </c>
      <c r="E1164">
        <v>19.167767999999999</v>
      </c>
      <c r="G1164" s="35">
        <v>671.35</v>
      </c>
      <c r="H1164" s="36"/>
      <c r="I1164" s="36"/>
      <c r="J1164" s="37"/>
    </row>
    <row r="1165" spans="4:10">
      <c r="D1165" s="34">
        <v>44308</v>
      </c>
      <c r="E1165">
        <v>19.385102</v>
      </c>
      <c r="G1165" s="35">
        <v>658.7</v>
      </c>
      <c r="H1165" s="36"/>
      <c r="I1165" s="36"/>
      <c r="J1165" s="37"/>
    </row>
    <row r="1166" spans="4:10">
      <c r="D1166" s="34">
        <v>44306</v>
      </c>
      <c r="E1166">
        <v>12.296248</v>
      </c>
      <c r="G1166" s="35">
        <v>651.75</v>
      </c>
      <c r="H1166" s="36"/>
      <c r="I1166" s="36"/>
      <c r="J1166" s="37"/>
    </row>
    <row r="1167" spans="4:10">
      <c r="D1167" s="34">
        <v>44305</v>
      </c>
      <c r="E1167">
        <v>17.292072000000001</v>
      </c>
      <c r="G1167" s="35">
        <v>648.15</v>
      </c>
      <c r="H1167" s="36"/>
      <c r="I1167" s="36"/>
      <c r="J1167" s="37"/>
    </row>
    <row r="1168" spans="4:10">
      <c r="D1168" s="34">
        <v>44302</v>
      </c>
      <c r="E1168">
        <v>12.242521999999999</v>
      </c>
      <c r="G1168" s="35">
        <v>669.2</v>
      </c>
      <c r="H1168" s="36"/>
      <c r="I1168" s="36"/>
      <c r="J1168" s="37"/>
    </row>
    <row r="1169" spans="4:10">
      <c r="D1169" s="34">
        <v>44301</v>
      </c>
      <c r="E1169">
        <v>15.195951000000001</v>
      </c>
      <c r="G1169" s="35">
        <v>668.85</v>
      </c>
      <c r="H1169" s="36"/>
      <c r="I1169" s="36"/>
      <c r="J1169" s="37"/>
    </row>
    <row r="1170" spans="4:10">
      <c r="D1170" s="34">
        <v>44299</v>
      </c>
      <c r="E1170">
        <v>12.73765</v>
      </c>
      <c r="G1170" s="35">
        <v>661</v>
      </c>
      <c r="H1170" s="36"/>
      <c r="I1170" s="36"/>
      <c r="J1170" s="37"/>
    </row>
    <row r="1171" spans="4:10">
      <c r="D1171" s="34">
        <v>44298</v>
      </c>
      <c r="E1171">
        <v>14.649540999999999</v>
      </c>
      <c r="G1171" s="35">
        <v>635.6</v>
      </c>
      <c r="H1171" s="36"/>
      <c r="I1171" s="36"/>
      <c r="J1171" s="37"/>
    </row>
    <row r="1172" spans="4:10">
      <c r="D1172" s="34">
        <v>44295</v>
      </c>
      <c r="E1172">
        <v>12.509114</v>
      </c>
      <c r="G1172" s="35">
        <v>668.2</v>
      </c>
      <c r="H1172" s="36"/>
      <c r="I1172" s="36"/>
      <c r="J1172" s="37"/>
    </row>
    <row r="1173" spans="4:10">
      <c r="D1173" s="34">
        <v>44294</v>
      </c>
      <c r="E1173">
        <v>9.0263980000000004</v>
      </c>
      <c r="G1173" s="35">
        <v>681.6</v>
      </c>
      <c r="H1173" s="36"/>
      <c r="I1173" s="36"/>
      <c r="J1173" s="37"/>
    </row>
    <row r="1174" spans="4:10">
      <c r="D1174" s="34">
        <v>44293</v>
      </c>
      <c r="E1174">
        <v>14.433515</v>
      </c>
      <c r="G1174" s="35">
        <v>688.25</v>
      </c>
      <c r="H1174" s="36"/>
      <c r="I1174" s="36"/>
      <c r="J1174" s="37"/>
    </row>
    <row r="1175" spans="4:10">
      <c r="D1175" s="34">
        <v>44292</v>
      </c>
      <c r="E1175">
        <v>12.062011</v>
      </c>
      <c r="G1175" s="35">
        <v>677.9</v>
      </c>
      <c r="H1175" s="36"/>
      <c r="I1175" s="36"/>
      <c r="J1175" s="37"/>
    </row>
    <row r="1176" spans="4:10">
      <c r="D1176" s="34">
        <v>44291</v>
      </c>
      <c r="E1176">
        <v>16.239521</v>
      </c>
      <c r="G1176" s="35">
        <v>685.25</v>
      </c>
      <c r="H1176" s="36"/>
      <c r="I1176" s="36"/>
      <c r="J1176" s="37"/>
    </row>
    <row r="1177" spans="4:10">
      <c r="D1177" s="34">
        <v>44287</v>
      </c>
      <c r="E1177">
        <v>13.090325999999999</v>
      </c>
      <c r="G1177" s="35">
        <v>713</v>
      </c>
      <c r="H1177" s="36"/>
      <c r="I1177" s="36"/>
      <c r="J1177" s="37"/>
    </row>
    <row r="1178" spans="4:10">
      <c r="D1178" s="34">
        <v>44286</v>
      </c>
      <c r="E1178">
        <v>14.924620000000001</v>
      </c>
      <c r="G1178" s="35">
        <v>697.45</v>
      </c>
      <c r="H1178" s="36"/>
      <c r="I1178" s="36"/>
      <c r="J1178" s="37"/>
    </row>
    <row r="1179" spans="4:10">
      <c r="D1179" s="34">
        <v>44285</v>
      </c>
      <c r="E1179">
        <v>25.965741999999999</v>
      </c>
      <c r="G1179" s="35">
        <v>695.35</v>
      </c>
      <c r="H1179" s="36"/>
      <c r="I1179" s="36"/>
      <c r="J1179" s="37"/>
    </row>
    <row r="1180" spans="4:10">
      <c r="D1180" s="34">
        <v>44281</v>
      </c>
      <c r="E1180">
        <v>13.143312</v>
      </c>
      <c r="G1180" s="35">
        <v>698.2</v>
      </c>
      <c r="H1180" s="36"/>
      <c r="I1180" s="36"/>
      <c r="J1180" s="37"/>
    </row>
    <row r="1181" spans="4:10">
      <c r="D1181" s="34">
        <v>44280</v>
      </c>
      <c r="E1181">
        <v>21.179279999999999</v>
      </c>
      <c r="G1181" s="35">
        <v>694.6</v>
      </c>
      <c r="H1181" s="36"/>
      <c r="I1181" s="36"/>
      <c r="J1181" s="37"/>
    </row>
    <row r="1182" spans="4:10">
      <c r="D1182" s="34">
        <v>44279</v>
      </c>
      <c r="E1182">
        <v>14.379147</v>
      </c>
      <c r="G1182" s="35">
        <v>706.4</v>
      </c>
      <c r="H1182" s="36"/>
      <c r="I1182" s="36"/>
      <c r="J1182" s="37"/>
    </row>
    <row r="1183" spans="4:10">
      <c r="D1183" s="34">
        <v>44278</v>
      </c>
      <c r="E1183">
        <v>15.949688</v>
      </c>
      <c r="G1183" s="35">
        <v>730.55</v>
      </c>
      <c r="H1183" s="36"/>
      <c r="I1183" s="36"/>
      <c r="J1183" s="37"/>
    </row>
    <row r="1184" spans="4:10">
      <c r="D1184" s="34">
        <v>44277</v>
      </c>
      <c r="E1184">
        <v>14.80223</v>
      </c>
      <c r="G1184" s="35">
        <v>716.2</v>
      </c>
      <c r="H1184" s="36"/>
      <c r="I1184" s="36"/>
      <c r="J1184" s="37"/>
    </row>
    <row r="1185" spans="4:10">
      <c r="D1185" s="34">
        <v>44274</v>
      </c>
      <c r="E1185">
        <v>20.377672</v>
      </c>
      <c r="G1185" s="35">
        <v>726.25</v>
      </c>
      <c r="H1185" s="36"/>
      <c r="I1185" s="36"/>
      <c r="J1185" s="37"/>
    </row>
    <row r="1186" spans="4:10">
      <c r="D1186" s="34">
        <v>44273</v>
      </c>
      <c r="E1186">
        <v>12.261544000000001</v>
      </c>
      <c r="G1186" s="35">
        <v>718.75</v>
      </c>
      <c r="H1186" s="36"/>
      <c r="I1186" s="36"/>
      <c r="J1186" s="37"/>
    </row>
    <row r="1187" spans="4:10">
      <c r="D1187" s="34">
        <v>44272</v>
      </c>
      <c r="E1187">
        <v>12.380976</v>
      </c>
      <c r="G1187" s="35">
        <v>727.9</v>
      </c>
      <c r="H1187" s="36"/>
      <c r="I1187" s="36"/>
      <c r="J1187" s="37"/>
    </row>
    <row r="1188" spans="4:10">
      <c r="D1188" s="34">
        <v>44271</v>
      </c>
      <c r="E1188">
        <v>11.358574000000001</v>
      </c>
      <c r="G1188" s="35">
        <v>737.75</v>
      </c>
      <c r="H1188" s="36"/>
      <c r="I1188" s="36"/>
      <c r="J1188" s="37"/>
    </row>
    <row r="1189" spans="4:10">
      <c r="D1189" s="34">
        <v>44270</v>
      </c>
      <c r="E1189">
        <v>22.466578999999999</v>
      </c>
      <c r="G1189" s="35">
        <v>744.4</v>
      </c>
      <c r="H1189" s="36"/>
      <c r="I1189" s="36"/>
      <c r="J1189" s="37"/>
    </row>
    <row r="1190" spans="4:10">
      <c r="D1190" s="34">
        <v>44267</v>
      </c>
      <c r="E1190">
        <v>16.343306999999999</v>
      </c>
      <c r="G1190" s="35">
        <v>750.6</v>
      </c>
      <c r="H1190" s="36"/>
      <c r="I1190" s="36"/>
      <c r="J1190" s="37"/>
    </row>
    <row r="1191" spans="4:10">
      <c r="D1191" s="34">
        <v>44265</v>
      </c>
      <c r="E1191">
        <v>13.37799</v>
      </c>
      <c r="G1191" s="35">
        <v>760.75</v>
      </c>
      <c r="H1191" s="36"/>
      <c r="I1191" s="36"/>
      <c r="J1191" s="37"/>
    </row>
    <row r="1192" spans="4:10">
      <c r="D1192" s="34">
        <v>44264</v>
      </c>
      <c r="E1192">
        <v>18.951682999999999</v>
      </c>
      <c r="G1192" s="35">
        <v>745.45</v>
      </c>
      <c r="H1192" s="36"/>
      <c r="I1192" s="36"/>
      <c r="J1192" s="37"/>
    </row>
    <row r="1193" spans="4:10">
      <c r="D1193" s="34">
        <v>44263</v>
      </c>
      <c r="E1193">
        <v>13.898555999999999</v>
      </c>
      <c r="G1193" s="35">
        <v>743.3</v>
      </c>
      <c r="H1193" s="36"/>
      <c r="I1193" s="36"/>
      <c r="J1193" s="37"/>
    </row>
    <row r="1194" spans="4:10">
      <c r="D1194" s="34">
        <v>44260</v>
      </c>
      <c r="E1194">
        <v>16.358252</v>
      </c>
      <c r="G1194" s="35">
        <v>730.75</v>
      </c>
      <c r="H1194" s="36"/>
      <c r="I1194" s="36"/>
      <c r="J1194" s="37"/>
    </row>
    <row r="1195" spans="4:10">
      <c r="D1195" s="34">
        <v>44259</v>
      </c>
      <c r="E1195">
        <v>16.896947000000001</v>
      </c>
      <c r="G1195" s="35">
        <v>736.8</v>
      </c>
      <c r="H1195" s="36"/>
      <c r="I1195" s="36"/>
      <c r="J1195" s="37"/>
    </row>
    <row r="1196" spans="4:10">
      <c r="D1196" s="34">
        <v>44258</v>
      </c>
      <c r="E1196">
        <v>13.603790999999999</v>
      </c>
      <c r="G1196" s="35">
        <v>753.95</v>
      </c>
      <c r="H1196" s="36"/>
      <c r="I1196" s="36"/>
      <c r="J1196" s="37"/>
    </row>
    <row r="1197" spans="4:10">
      <c r="D1197" s="34">
        <v>44257</v>
      </c>
      <c r="E1197">
        <v>14.503453</v>
      </c>
      <c r="G1197" s="35">
        <v>731.25</v>
      </c>
      <c r="H1197" s="36"/>
      <c r="I1197" s="36"/>
      <c r="J1197" s="37"/>
    </row>
    <row r="1198" spans="4:10">
      <c r="D1198" s="34">
        <v>44256</v>
      </c>
      <c r="E1198">
        <v>14.301187000000001</v>
      </c>
      <c r="G1198" s="35">
        <v>728.55</v>
      </c>
      <c r="H1198" s="36"/>
      <c r="I1198" s="36"/>
      <c r="J1198" s="37"/>
    </row>
    <row r="1199" spans="4:10">
      <c r="D1199" s="34">
        <v>44253</v>
      </c>
      <c r="E1199">
        <v>31.306177000000002</v>
      </c>
      <c r="G1199" s="35">
        <v>724.8</v>
      </c>
      <c r="H1199" s="36"/>
      <c r="I1199" s="36"/>
      <c r="J1199" s="37"/>
    </row>
    <row r="1200" spans="4:10">
      <c r="D1200" s="34">
        <v>44252</v>
      </c>
      <c r="E1200">
        <v>26.635119</v>
      </c>
      <c r="G1200" s="35">
        <v>770.65</v>
      </c>
      <c r="H1200" s="36"/>
      <c r="I1200" s="36"/>
      <c r="J1200" s="37"/>
    </row>
    <row r="1201" spans="4:10">
      <c r="D1201" s="34">
        <v>44251</v>
      </c>
      <c r="E1201">
        <v>11.207286</v>
      </c>
      <c r="G1201" s="35">
        <v>749.4</v>
      </c>
      <c r="H1201" s="36"/>
      <c r="I1201" s="36"/>
      <c r="J1201" s="37"/>
    </row>
    <row r="1202" spans="4:10">
      <c r="D1202" s="34">
        <v>44250</v>
      </c>
      <c r="E1202">
        <v>16.804763000000001</v>
      </c>
      <c r="G1202" s="35">
        <v>715.95</v>
      </c>
      <c r="H1202" s="36"/>
      <c r="I1202" s="36"/>
      <c r="J1202" s="37"/>
    </row>
    <row r="1203" spans="4:10">
      <c r="D1203" s="34">
        <v>44249</v>
      </c>
      <c r="E1203">
        <v>18.123201999999999</v>
      </c>
      <c r="G1203" s="35">
        <v>719.45</v>
      </c>
      <c r="H1203" s="36"/>
      <c r="I1203" s="36"/>
      <c r="J1203" s="37"/>
    </row>
    <row r="1204" spans="4:10">
      <c r="D1204" s="34">
        <v>44246</v>
      </c>
      <c r="E1204">
        <v>15.634786999999999</v>
      </c>
      <c r="G1204" s="35">
        <v>749.65</v>
      </c>
      <c r="H1204" s="36"/>
      <c r="I1204" s="36"/>
      <c r="J1204" s="37"/>
    </row>
    <row r="1205" spans="4:10">
      <c r="D1205" s="34">
        <v>44245</v>
      </c>
      <c r="E1205">
        <v>19.685663000000002</v>
      </c>
      <c r="G1205" s="35">
        <v>777</v>
      </c>
      <c r="H1205" s="36"/>
      <c r="I1205" s="36"/>
      <c r="J1205" s="37"/>
    </row>
    <row r="1206" spans="4:10">
      <c r="D1206" s="34">
        <v>44244</v>
      </c>
      <c r="E1206">
        <v>16.956357000000001</v>
      </c>
      <c r="G1206" s="35">
        <v>777.75</v>
      </c>
      <c r="H1206" s="36"/>
      <c r="I1206" s="36"/>
      <c r="J1206" s="37"/>
    </row>
    <row r="1207" spans="4:10">
      <c r="D1207" s="34">
        <v>44243</v>
      </c>
      <c r="E1207">
        <v>23.968942999999999</v>
      </c>
      <c r="G1207" s="35">
        <v>775.05</v>
      </c>
      <c r="H1207" s="36"/>
      <c r="I1207" s="36"/>
      <c r="J1207" s="37"/>
    </row>
    <row r="1208" spans="4:10">
      <c r="D1208" s="34">
        <v>44242</v>
      </c>
      <c r="E1208">
        <v>20.648115000000001</v>
      </c>
      <c r="G1208" s="35">
        <v>794</v>
      </c>
      <c r="H1208" s="36"/>
      <c r="I1208" s="36"/>
      <c r="J1208" s="37"/>
    </row>
    <row r="1209" spans="4:10">
      <c r="D1209" s="34">
        <v>44239</v>
      </c>
      <c r="E1209">
        <v>15.668442000000001</v>
      </c>
      <c r="G1209" s="35">
        <v>750.4</v>
      </c>
      <c r="H1209" s="36"/>
      <c r="I1209" s="36"/>
      <c r="J1209" s="37"/>
    </row>
    <row r="1210" spans="4:10">
      <c r="D1210" s="34">
        <v>44238</v>
      </c>
      <c r="E1210">
        <v>11.89771</v>
      </c>
      <c r="G1210" s="35">
        <v>740.1</v>
      </c>
      <c r="H1210" s="36"/>
      <c r="I1210" s="36"/>
      <c r="J1210" s="37"/>
    </row>
    <row r="1211" spans="4:10">
      <c r="D1211" s="34">
        <v>44237</v>
      </c>
      <c r="E1211">
        <v>15.140744</v>
      </c>
      <c r="G1211" s="35">
        <v>734.8</v>
      </c>
      <c r="H1211" s="36"/>
      <c r="I1211" s="36"/>
      <c r="J1211" s="37"/>
    </row>
    <row r="1212" spans="4:10">
      <c r="D1212" s="34">
        <v>44236</v>
      </c>
      <c r="E1212">
        <v>22.307807</v>
      </c>
      <c r="G1212" s="35">
        <v>742.5</v>
      </c>
      <c r="H1212" s="36"/>
      <c r="I1212" s="36"/>
      <c r="J1212" s="37"/>
    </row>
    <row r="1213" spans="4:10">
      <c r="D1213" s="34">
        <v>44235</v>
      </c>
      <c r="E1213">
        <v>15.662890000000001</v>
      </c>
      <c r="G1213" s="35">
        <v>736.15</v>
      </c>
      <c r="H1213" s="36"/>
      <c r="I1213" s="36"/>
      <c r="J1213" s="37"/>
    </row>
    <row r="1214" spans="4:10">
      <c r="D1214" s="34">
        <v>44232</v>
      </c>
      <c r="E1214">
        <v>31.121503000000001</v>
      </c>
      <c r="G1214" s="35">
        <v>719.6</v>
      </c>
      <c r="H1214" s="36"/>
      <c r="I1214" s="36"/>
      <c r="J1214" s="37"/>
    </row>
    <row r="1215" spans="4:10">
      <c r="D1215" s="34">
        <v>44231</v>
      </c>
      <c r="E1215">
        <v>20.490289000000001</v>
      </c>
      <c r="G1215" s="35">
        <v>743.9</v>
      </c>
      <c r="H1215" s="36"/>
      <c r="I1215" s="36"/>
      <c r="J1215" s="37"/>
    </row>
    <row r="1216" spans="4:10">
      <c r="D1216" s="34">
        <v>44230</v>
      </c>
      <c r="E1216">
        <v>23.541360999999998</v>
      </c>
      <c r="G1216" s="35">
        <v>733.8</v>
      </c>
      <c r="H1216" s="36"/>
      <c r="I1216" s="36"/>
      <c r="J1216" s="37"/>
    </row>
    <row r="1217" spans="4:10">
      <c r="D1217" s="34">
        <v>44229</v>
      </c>
      <c r="E1217">
        <v>28.703320000000001</v>
      </c>
      <c r="G1217" s="35">
        <v>714.2</v>
      </c>
      <c r="H1217" s="36"/>
      <c r="I1217" s="36"/>
      <c r="J1217" s="37"/>
    </row>
    <row r="1218" spans="4:10">
      <c r="D1218" s="34">
        <v>44228</v>
      </c>
      <c r="E1218">
        <v>30.64827</v>
      </c>
      <c r="G1218" s="35">
        <v>709.35</v>
      </c>
      <c r="H1218" s="36"/>
      <c r="I1218" s="36"/>
      <c r="J1218" s="37"/>
    </row>
    <row r="1219" spans="4:10">
      <c r="D1219" s="34">
        <v>44225</v>
      </c>
      <c r="E1219">
        <v>31.273251999999999</v>
      </c>
      <c r="G1219" s="35">
        <v>662.9</v>
      </c>
      <c r="H1219" s="36"/>
      <c r="I1219" s="36"/>
      <c r="J1219" s="37"/>
    </row>
    <row r="1220" spans="4:10">
      <c r="D1220" s="34">
        <v>44224</v>
      </c>
      <c r="E1220">
        <v>64.303974999999994</v>
      </c>
      <c r="G1220" s="35">
        <v>670.7</v>
      </c>
      <c r="H1220" s="36"/>
      <c r="I1220" s="36"/>
      <c r="J1220" s="37"/>
    </row>
    <row r="1221" spans="4:10">
      <c r="D1221" s="34">
        <v>44223</v>
      </c>
      <c r="E1221">
        <v>24.462588</v>
      </c>
      <c r="G1221" s="35">
        <v>632.1</v>
      </c>
      <c r="H1221" s="36"/>
      <c r="I1221" s="36"/>
      <c r="J1221" s="37"/>
    </row>
    <row r="1222" spans="4:10">
      <c r="D1222" s="34">
        <v>44221</v>
      </c>
      <c r="E1222">
        <v>21.325344999999999</v>
      </c>
      <c r="G1222" s="35">
        <v>658.4</v>
      </c>
      <c r="H1222" s="36"/>
      <c r="I1222" s="36"/>
      <c r="J1222" s="37"/>
    </row>
    <row r="1223" spans="4:10">
      <c r="D1223" s="34">
        <v>44218</v>
      </c>
      <c r="E1223">
        <v>21.392223000000001</v>
      </c>
      <c r="G1223" s="35">
        <v>644.5</v>
      </c>
      <c r="H1223" s="36"/>
      <c r="I1223" s="36"/>
      <c r="J1223" s="37"/>
    </row>
    <row r="1224" spans="4:10">
      <c r="D1224" s="34">
        <v>44217</v>
      </c>
      <c r="E1224">
        <v>15.849437999999999</v>
      </c>
      <c r="G1224" s="35">
        <v>675.85</v>
      </c>
      <c r="H1224" s="36"/>
      <c r="I1224" s="36"/>
      <c r="J1224" s="37"/>
    </row>
    <row r="1225" spans="4:10">
      <c r="D1225" s="34">
        <v>44216</v>
      </c>
      <c r="E1225">
        <v>9.9806139999999992</v>
      </c>
      <c r="G1225" s="35">
        <v>675.75</v>
      </c>
      <c r="H1225" s="36"/>
      <c r="I1225" s="36"/>
      <c r="J1225" s="37"/>
    </row>
    <row r="1226" spans="4:10">
      <c r="D1226" s="34">
        <v>44215</v>
      </c>
      <c r="E1226">
        <v>9.0105389999999996</v>
      </c>
      <c r="G1226" s="35">
        <v>668.75</v>
      </c>
      <c r="H1226" s="36"/>
      <c r="I1226" s="36"/>
      <c r="J1226" s="37"/>
    </row>
    <row r="1227" spans="4:10">
      <c r="D1227" s="34">
        <v>44214</v>
      </c>
      <c r="E1227">
        <v>13.460603000000001</v>
      </c>
      <c r="G1227" s="35">
        <v>657</v>
      </c>
      <c r="H1227" s="36"/>
      <c r="I1227" s="36"/>
      <c r="J1227" s="37"/>
    </row>
    <row r="1228" spans="4:10">
      <c r="D1228" s="34">
        <v>44211</v>
      </c>
      <c r="E1228">
        <v>12.339771000000001</v>
      </c>
      <c r="G1228" s="35">
        <v>674.85</v>
      </c>
      <c r="H1228" s="36"/>
      <c r="I1228" s="36"/>
      <c r="J1228" s="37"/>
    </row>
    <row r="1229" spans="4:10">
      <c r="D1229" s="34">
        <v>44210</v>
      </c>
      <c r="E1229">
        <v>9.3375029999999999</v>
      </c>
      <c r="G1229" s="35">
        <v>676</v>
      </c>
      <c r="H1229" s="36"/>
      <c r="I1229" s="36"/>
      <c r="J1229" s="37"/>
    </row>
    <row r="1230" spans="4:10">
      <c r="D1230" s="34">
        <v>44209</v>
      </c>
      <c r="E1230">
        <v>15.645903000000001</v>
      </c>
      <c r="G1230" s="35">
        <v>687.8</v>
      </c>
      <c r="H1230" s="36"/>
      <c r="I1230" s="36"/>
      <c r="J1230" s="37"/>
    </row>
    <row r="1231" spans="4:10">
      <c r="D1231" s="34">
        <v>44208</v>
      </c>
      <c r="E1231">
        <v>13.301893</v>
      </c>
      <c r="G1231" s="35">
        <v>675.7</v>
      </c>
      <c r="H1231" s="36"/>
      <c r="I1231" s="36"/>
      <c r="J1231" s="37"/>
    </row>
    <row r="1232" spans="4:10">
      <c r="D1232" s="34">
        <v>44207</v>
      </c>
      <c r="E1232">
        <v>7.9283650000000003</v>
      </c>
      <c r="G1232" s="35">
        <v>666.95</v>
      </c>
      <c r="H1232" s="36"/>
      <c r="I1232" s="36"/>
      <c r="J1232" s="37"/>
    </row>
    <row r="1233" spans="4:10">
      <c r="D1233" s="34">
        <v>44204</v>
      </c>
      <c r="E1233">
        <v>12.272793999999999</v>
      </c>
      <c r="G1233" s="35">
        <v>672.7</v>
      </c>
      <c r="H1233" s="36"/>
      <c r="I1233" s="36"/>
      <c r="J1233" s="37"/>
    </row>
    <row r="1234" spans="4:10">
      <c r="D1234" s="34">
        <v>44203</v>
      </c>
      <c r="E1234">
        <v>17.88757</v>
      </c>
      <c r="G1234" s="35">
        <v>671.1</v>
      </c>
      <c r="H1234" s="36"/>
      <c r="I1234" s="36"/>
      <c r="J1234" s="37"/>
    </row>
    <row r="1235" spans="4:10">
      <c r="D1235" s="34">
        <v>44202</v>
      </c>
      <c r="E1235">
        <v>20.829644999999999</v>
      </c>
      <c r="G1235" s="35">
        <v>654.25</v>
      </c>
      <c r="H1235" s="36"/>
      <c r="I1235" s="36"/>
      <c r="J1235" s="37"/>
    </row>
    <row r="1236" spans="4:10">
      <c r="D1236" s="34">
        <v>44201</v>
      </c>
      <c r="E1236">
        <v>37.973962999999998</v>
      </c>
      <c r="G1236" s="35">
        <v>664.45</v>
      </c>
      <c r="H1236" s="36"/>
      <c r="I1236" s="36"/>
      <c r="J1236" s="37"/>
    </row>
    <row r="1237" spans="4:10">
      <c r="D1237" s="34">
        <v>44200</v>
      </c>
      <c r="E1237">
        <v>14.068156</v>
      </c>
      <c r="G1237" s="35">
        <v>624.70000000000005</v>
      </c>
      <c r="H1237" s="36"/>
      <c r="I1237" s="36"/>
      <c r="J1237" s="37"/>
    </row>
    <row r="1238" spans="4:10">
      <c r="D1238" s="34">
        <v>44197</v>
      </c>
      <c r="E1238">
        <v>6.0470620000000004</v>
      </c>
      <c r="G1238" s="35">
        <v>623.79999999999995</v>
      </c>
      <c r="H1238" s="36"/>
      <c r="I1238" s="36"/>
      <c r="J1238" s="37"/>
    </row>
    <row r="1239" spans="4:10">
      <c r="D1239" s="34">
        <v>44196</v>
      </c>
      <c r="E1239">
        <v>12.306502</v>
      </c>
      <c r="G1239" s="35">
        <v>620.45000000000005</v>
      </c>
      <c r="H1239" s="36"/>
      <c r="I1239" s="36"/>
      <c r="J1239" s="37"/>
    </row>
    <row r="1240" spans="4:10">
      <c r="D1240" s="34">
        <v>44195</v>
      </c>
      <c r="E1240">
        <v>10.262221</v>
      </c>
      <c r="G1240" s="35">
        <v>625.1</v>
      </c>
      <c r="H1240" s="36"/>
      <c r="I1240" s="36"/>
      <c r="J1240" s="37"/>
    </row>
    <row r="1241" spans="4:10">
      <c r="D1241" s="34">
        <v>44194</v>
      </c>
      <c r="E1241">
        <v>13.765454</v>
      </c>
      <c r="G1241" s="35">
        <v>630.20000000000005</v>
      </c>
      <c r="H1241" s="36"/>
      <c r="I1241" s="36"/>
      <c r="J1241" s="37"/>
    </row>
    <row r="1242" spans="4:10">
      <c r="D1242" s="34">
        <v>44193</v>
      </c>
      <c r="E1242">
        <v>8.4445060000000005</v>
      </c>
      <c r="G1242" s="35">
        <v>617.65</v>
      </c>
      <c r="H1242" s="36"/>
      <c r="I1242" s="36"/>
      <c r="J1242" s="3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A98F-8D95-4D17-84D6-E317B289E94B}">
  <sheetPr>
    <pageSetUpPr fitToPage="1"/>
  </sheetPr>
  <dimension ref="A1:S74"/>
  <sheetViews>
    <sheetView showGridLines="0" topLeftCell="A32" zoomScale="69" zoomScaleNormal="59" zoomScaleSheetLayoutView="71" workbookViewId="0">
      <selection activeCell="C4" sqref="C4:K4"/>
    </sheetView>
  </sheetViews>
  <sheetFormatPr defaultRowHeight="14.4"/>
  <cols>
    <col min="1" max="1" width="1.6640625" customWidth="1"/>
    <col min="2" max="2" width="46.88671875" customWidth="1"/>
    <col min="3" max="3" width="12.88671875" customWidth="1"/>
    <col min="4" max="4" width="12.33203125" customWidth="1"/>
    <col min="5" max="5" width="13.6640625" customWidth="1"/>
    <col min="6" max="6" width="12.33203125" customWidth="1"/>
    <col min="7" max="7" width="12.44140625" customWidth="1"/>
    <col min="8" max="8" width="1.109375" customWidth="1"/>
    <col min="9" max="9" width="12.33203125" customWidth="1"/>
    <col min="10" max="10" width="25.44140625" customWidth="1"/>
    <col min="11" max="11" width="11.33203125" bestFit="1" customWidth="1"/>
    <col min="12" max="12" width="2.33203125" customWidth="1"/>
    <col min="13" max="19" width="13.6640625" style="23" customWidth="1"/>
  </cols>
  <sheetData>
    <row r="1" spans="2:11" ht="8.4" customHeight="1"/>
    <row r="2" spans="2:11" ht="18.600000000000001" customHeight="1">
      <c r="B2" s="95" t="s">
        <v>83</v>
      </c>
      <c r="C2" s="95"/>
      <c r="D2" s="95"/>
      <c r="E2" s="95"/>
      <c r="F2" s="95"/>
      <c r="G2" s="95"/>
      <c r="H2" s="95"/>
      <c r="I2" s="95"/>
      <c r="J2" s="95"/>
      <c r="K2" s="95"/>
    </row>
    <row r="3" spans="2:11" s="23" customFormat="1" ht="18.600000000000001" customHeight="1">
      <c r="B3" s="22"/>
      <c r="C3" s="22"/>
      <c r="D3" s="22"/>
      <c r="E3" s="22"/>
      <c r="F3" s="22"/>
      <c r="G3" s="22"/>
      <c r="H3" s="22"/>
      <c r="I3" s="22"/>
      <c r="J3" s="22"/>
      <c r="K3" s="22"/>
    </row>
    <row r="4" spans="2:11" ht="61.8" customHeight="1">
      <c r="B4" s="24"/>
      <c r="C4" s="96" t="str">
        <f>'INPUT SHEET'!B3</f>
        <v>AXIS BANK LIMITED, FORMERLY KNOWN AS UTI BANK (1993–2007), IS AN INDIAN MULTINATIONAL BANKING AND FINANCIAL SERVICES COMPANY HEADQUARTERED IN MUMBAI. IT IS INDIA'S THIRD LARGEST PRIVATE SECTOR BANK BY ASSETS AND FOURTH LARGEST BY MARKET CAPITALISATION. IT SELLS FINANCIAL SERVICES TO LARGE AND MID-SIZE COMPANIES, SMES AND RETAIL BUSINESSES.</v>
      </c>
      <c r="D4" s="96"/>
      <c r="E4" s="96"/>
      <c r="F4" s="96"/>
      <c r="G4" s="96"/>
      <c r="H4" s="96"/>
      <c r="I4" s="96"/>
      <c r="J4" s="96"/>
      <c r="K4" s="96"/>
    </row>
    <row r="5" spans="2:11">
      <c r="B5" s="28" t="s">
        <v>85</v>
      </c>
    </row>
    <row r="6" spans="2:11" ht="15.6">
      <c r="B6" s="25" t="s">
        <v>82</v>
      </c>
      <c r="C6" s="38" cm="1">
        <f t="array" ref="C6:G6">'Profit &amp; Loss'!G3:K3</f>
        <v>44286</v>
      </c>
      <c r="D6" s="38">
        <v>44651</v>
      </c>
      <c r="E6" s="38">
        <v>45016</v>
      </c>
      <c r="F6" s="38">
        <v>45382</v>
      </c>
      <c r="G6" s="38">
        <v>45747</v>
      </c>
      <c r="I6" s="88" t="s">
        <v>105</v>
      </c>
      <c r="J6" s="88"/>
      <c r="K6" s="88"/>
    </row>
    <row r="7" spans="2:11" ht="7.2" customHeight="1"/>
    <row r="8" spans="2:11">
      <c r="B8" s="56" t="s">
        <v>84</v>
      </c>
      <c r="C8" s="57">
        <f>'Profit &amp; Loss'!G4</f>
        <v>64397.36</v>
      </c>
      <c r="D8" s="57">
        <f>'Profit &amp; Loss'!H4</f>
        <v>68846.06</v>
      </c>
      <c r="E8" s="57">
        <f>'Profit &amp; Loss'!I4</f>
        <v>87448.37</v>
      </c>
      <c r="F8" s="57">
        <f>'Profit &amp; Loss'!J4</f>
        <v>112759.05</v>
      </c>
      <c r="G8" s="57">
        <f>'Profit &amp; Loss'!K4</f>
        <v>127374.09</v>
      </c>
    </row>
    <row r="9" spans="2:11">
      <c r="B9" s="58" t="s">
        <v>86</v>
      </c>
      <c r="C9" s="59">
        <f>'Profit &amp; Loss'!G27</f>
        <v>1.0698779327160901E-2</v>
      </c>
      <c r="D9" s="59">
        <f>'Profit &amp; Loss'!H27</f>
        <v>6.9082024480506599E-2</v>
      </c>
      <c r="E9" s="59">
        <f>'Profit &amp; Loss'!I27</f>
        <v>0.27020151915737811</v>
      </c>
      <c r="F9" s="59">
        <f>'Profit &amp; Loss'!J27</f>
        <v>0.28943569788665036</v>
      </c>
      <c r="G9" s="59">
        <f>'Profit &amp; Loss'!K27</f>
        <v>0.12961301110642554</v>
      </c>
    </row>
    <row r="10" spans="2:11">
      <c r="B10" s="56" t="s">
        <v>101</v>
      </c>
      <c r="C10" s="60">
        <f>'Profit &amp; Loss'!G29</f>
        <v>0.98065634988763517</v>
      </c>
      <c r="D10" s="60">
        <f>'Profit &amp; Loss'!H29</f>
        <v>0.97893968078928562</v>
      </c>
      <c r="E10" s="60">
        <f>'Profit &amp; Loss'!I29</f>
        <v>0.98175586348836463</v>
      </c>
      <c r="F10" s="60">
        <f>'Profit &amp; Loss'!J29</f>
        <v>0.98280200125843564</v>
      </c>
      <c r="G10" s="60">
        <f>'Profit &amp; Loss'!K29</f>
        <v>0.98170985951695511</v>
      </c>
    </row>
    <row r="11" spans="2:11">
      <c r="B11" s="56" t="s">
        <v>100</v>
      </c>
      <c r="C11" s="60">
        <f>'Profit &amp; Loss'!G30</f>
        <v>0.4934421224721014</v>
      </c>
      <c r="D11" s="60">
        <f>'Profit &amp; Loss'!H30</f>
        <v>0.54657565008077447</v>
      </c>
      <c r="E11" s="60">
        <f>'Profit &amp; Loss'!I30</f>
        <v>0.64960673366467547</v>
      </c>
      <c r="F11" s="60">
        <f>'Profit &amp; Loss'!J30</f>
        <v>0.6449451285728286</v>
      </c>
      <c r="G11" s="60">
        <f>'Profit &amp; Loss'!K30</f>
        <v>0.63575865389892083</v>
      </c>
    </row>
    <row r="12" spans="2:11">
      <c r="B12" s="56" t="s">
        <v>99</v>
      </c>
      <c r="C12" s="60">
        <f>'Profit &amp; Loss'!G31</f>
        <v>0.47828886153096961</v>
      </c>
      <c r="D12" s="60">
        <f>'Profit &amp; Loss'!H31</f>
        <v>0.53138828859632647</v>
      </c>
      <c r="E12" s="60">
        <f>'Profit &amp; Loss'!I31</f>
        <v>0.49928203350159639</v>
      </c>
      <c r="F12" s="60">
        <f>'Profit &amp; Loss'!J31</f>
        <v>0.63266256677401955</v>
      </c>
      <c r="G12" s="60">
        <f>'Profit &amp; Loss'!K31</f>
        <v>0.62191376597862247</v>
      </c>
    </row>
    <row r="13" spans="2:11">
      <c r="B13" s="56" t="s">
        <v>98</v>
      </c>
      <c r="C13" s="60">
        <f>'Profit &amp; Loss'!G32</f>
        <v>0.11173594693943975</v>
      </c>
      <c r="D13" s="60">
        <f>'Profit &amp; Loss'!H32</f>
        <v>0.20508493877500036</v>
      </c>
      <c r="E13" s="60">
        <f>'Profit &amp; Loss'!I32</f>
        <v>0.12371242597203357</v>
      </c>
      <c r="F13" s="60">
        <f>'Profit &amp; Loss'!J32</f>
        <v>0.23400516410877886</v>
      </c>
      <c r="G13" s="60">
        <f>'Profit &amp; Loss'!K32</f>
        <v>0.22025758927894992</v>
      </c>
    </row>
    <row r="14" spans="2:11">
      <c r="B14" s="56" t="s">
        <v>93</v>
      </c>
      <c r="C14" s="61">
        <f>'Profit &amp; Loss'!G13</f>
        <v>23.486307406077618</v>
      </c>
      <c r="D14" s="61">
        <f>'Profit &amp; Loss'!H13</f>
        <v>45.995667329054953</v>
      </c>
      <c r="E14" s="61">
        <f>'Profit &amp; Loss'!I13</f>
        <v>35.160226201696517</v>
      </c>
      <c r="F14" s="61">
        <f>'Profit &amp; Loss'!J13</f>
        <v>85.486295600336931</v>
      </c>
      <c r="G14" s="61">
        <f>'Profit &amp; Loss'!K13</f>
        <v>90.576322076580354</v>
      </c>
    </row>
    <row r="15" spans="2:11">
      <c r="B15" s="56" t="s">
        <v>94</v>
      </c>
      <c r="C15" s="62">
        <f>'Profit &amp; Loss'!G33</f>
        <v>2.5762212501000601</v>
      </c>
      <c r="D15" s="62">
        <f>'Profit &amp; Loss'!H33</f>
        <v>0.95840352992878408</v>
      </c>
      <c r="E15" s="62">
        <f>'Profit &amp; Loss'!I33</f>
        <v>-0.23557525646581512</v>
      </c>
      <c r="F15" s="62">
        <f>'Profit &amp; Loss'!J33</f>
        <v>1.4313351998916359</v>
      </c>
      <c r="G15" s="62">
        <f>'Profit &amp; Loss'!K33</f>
        <v>5.9542017120968405E-2</v>
      </c>
    </row>
    <row r="16" spans="2:11">
      <c r="B16" s="56" t="s">
        <v>96</v>
      </c>
      <c r="C16" s="63">
        <f>'Profit &amp; Loss'!G34</f>
        <v>0</v>
      </c>
      <c r="D16" s="63">
        <f>'Profit &amp; Loss'!H34</f>
        <v>1.0000325764732709</v>
      </c>
      <c r="E16" s="63">
        <f>'Profit &amp; Loss'!I34</f>
        <v>0.99996749975624832</v>
      </c>
      <c r="F16" s="63">
        <f>'Profit &amp; Loss'!J34</f>
        <v>1</v>
      </c>
      <c r="G16" s="63">
        <f>'Profit &amp; Loss'!K34</f>
        <v>0.99999999999999989</v>
      </c>
    </row>
    <row r="17" spans="2:11">
      <c r="B17" s="56" t="s">
        <v>102</v>
      </c>
      <c r="C17" s="62">
        <f>0</f>
        <v>0</v>
      </c>
      <c r="D17" s="62">
        <f>'Profit &amp; Loss'!H35</f>
        <v>-1</v>
      </c>
      <c r="E17" s="62">
        <f>'Profit &amp; Loss'!I35</f>
        <v>6.5078832100606832E-5</v>
      </c>
      <c r="F17" s="62">
        <f>'Profit &amp; Loss'!J35</f>
        <v>-3.2500243751676372E-5</v>
      </c>
      <c r="G17" s="62">
        <f>'Profit &amp; Loss'!K35</f>
        <v>0</v>
      </c>
    </row>
    <row r="18" spans="2:11" ht="7.2" customHeight="1"/>
    <row r="19" spans="2:11" ht="15.6">
      <c r="B19" s="25" t="s">
        <v>114</v>
      </c>
      <c r="C19" s="38">
        <f>C6</f>
        <v>44286</v>
      </c>
      <c r="D19" s="38">
        <f t="shared" ref="D19:G19" si="0">D6</f>
        <v>44651</v>
      </c>
      <c r="E19" s="38">
        <f t="shared" si="0"/>
        <v>45016</v>
      </c>
      <c r="F19" s="38">
        <f t="shared" si="0"/>
        <v>45382</v>
      </c>
      <c r="G19" s="38">
        <f t="shared" si="0"/>
        <v>45747</v>
      </c>
      <c r="I19" s="88" t="s">
        <v>120</v>
      </c>
      <c r="J19" s="88"/>
      <c r="K19" s="88"/>
    </row>
    <row r="20" spans="2:11" ht="7.2" customHeight="1"/>
    <row r="21" spans="2:11">
      <c r="B21" s="56" t="s">
        <v>115</v>
      </c>
      <c r="C21" s="64">
        <f>'Profit &amp; Loss'!G14</f>
        <v>29.696026196928639</v>
      </c>
      <c r="D21" s="64">
        <f>'Profit &amp; Loss'!H14</f>
        <v>16.548297789761385</v>
      </c>
      <c r="E21" s="64">
        <f>'Profit &amp; Loss'!I14</f>
        <v>24.416793995442966</v>
      </c>
      <c r="F21" s="64">
        <f>'Profit &amp; Loss'!J14</f>
        <v>12.249916698880478</v>
      </c>
      <c r="G21" s="64">
        <f>'Profit &amp; Loss'!K14</f>
        <v>12.166535080418505</v>
      </c>
    </row>
    <row r="22" spans="2:11">
      <c r="B22" s="56" t="s">
        <v>116</v>
      </c>
      <c r="C22" s="64">
        <f>'Profit &amp; Loss'!G42</f>
        <v>46.255890666555047</v>
      </c>
      <c r="D22" s="64">
        <f>'Profit &amp; Loss'!H42</f>
        <v>40.953511718706395</v>
      </c>
      <c r="E22" s="64">
        <f>'Profit &amp; Loss'!I42</f>
        <v>3.6562360657700057</v>
      </c>
      <c r="F22" s="64">
        <f>'Profit &amp; Loss'!J42</f>
        <v>3.3934891932995432</v>
      </c>
      <c r="G22" s="64">
        <f>'Profit &amp; Loss'!K42</f>
        <v>3.4054306304410593</v>
      </c>
    </row>
    <row r="23" spans="2:11">
      <c r="B23" s="56" t="s">
        <v>111</v>
      </c>
      <c r="C23" s="64">
        <f>'Profit &amp; Loss'!G43</f>
        <v>22.824604867342387</v>
      </c>
      <c r="D23" s="64">
        <f>'Profit &amp; Loss'!H43</f>
        <v>22.384192290742565</v>
      </c>
      <c r="E23" s="64">
        <f>'Profit &amp; Loss'!I43</f>
        <v>2.3751155681918372</v>
      </c>
      <c r="F23" s="64">
        <f>'Profit &amp; Loss'!J43</f>
        <v>2.1886143240830784</v>
      </c>
      <c r="G23" s="64">
        <f>'Profit &amp; Loss'!K43</f>
        <v>2.165031993555361</v>
      </c>
    </row>
    <row r="24" spans="2:11">
      <c r="B24" s="56" t="s">
        <v>117</v>
      </c>
      <c r="C24" s="64">
        <f>'Profit &amp; Loss'!G44</f>
        <v>2.0626520386857505</v>
      </c>
      <c r="D24" s="64">
        <f>'Profit &amp; Loss'!H44</f>
        <v>1.9757222351033725</v>
      </c>
      <c r="E24" s="64">
        <f>'Profit &amp; Loss'!I44</f>
        <v>2.0353550974170398</v>
      </c>
      <c r="F24" s="64">
        <f>'Profit &amp; Loss'!J44</f>
        <v>2.0584734821891653</v>
      </c>
      <c r="G24" s="64">
        <f>'Profit &amp; Loss'!K44</f>
        <v>1.8230169931993128</v>
      </c>
    </row>
    <row r="25" spans="2:11">
      <c r="B25" s="56" t="s">
        <v>118</v>
      </c>
      <c r="C25" s="65">
        <f>'Balance Sheet'!G23</f>
        <v>6.9458857054048653E-2</v>
      </c>
      <c r="D25" s="65">
        <f>'Balance Sheet'!H23</f>
        <v>0.11939126671540647</v>
      </c>
      <c r="E25" s="65">
        <f>'Balance Sheet'!I23</f>
        <v>8.3358818434431187E-2</v>
      </c>
      <c r="F25" s="65">
        <f>'Balance Sheet'!J23</f>
        <v>0.16803979429323709</v>
      </c>
      <c r="G25" s="65">
        <f>'Balance Sheet'!K23</f>
        <v>0.14983863369065342</v>
      </c>
    </row>
    <row r="26" spans="2:11">
      <c r="B26" s="56" t="s">
        <v>119</v>
      </c>
      <c r="C26" s="65">
        <f>'Balance Sheet'!G24</f>
        <v>4.8293511813211426E-2</v>
      </c>
      <c r="D26" s="65">
        <f>'Balance Sheet'!H24</f>
        <v>5.1450693113632144E-2</v>
      </c>
      <c r="E26" s="65">
        <f>'Balance Sheet'!I24</f>
        <v>5.1226538632448367E-2</v>
      </c>
      <c r="F26" s="65">
        <f>'Balance Sheet'!J24</f>
        <v>7.0639065155520056E-2</v>
      </c>
      <c r="G26" s="65">
        <f>'Balance Sheet'!K24</f>
        <v>7.110028125786208E-2</v>
      </c>
    </row>
    <row r="27" spans="2:11" ht="6.6" customHeight="1"/>
    <row r="28" spans="2:11" ht="15.6">
      <c r="B28" s="25" t="s">
        <v>126</v>
      </c>
      <c r="C28" s="94" t="s">
        <v>130</v>
      </c>
      <c r="D28" s="94"/>
      <c r="E28" s="54" t="s">
        <v>131</v>
      </c>
      <c r="F28" s="97" t="s">
        <v>129</v>
      </c>
      <c r="G28" s="97"/>
      <c r="H28" s="55"/>
      <c r="I28" s="88" t="s">
        <v>142</v>
      </c>
      <c r="J28" s="88"/>
      <c r="K28" s="88"/>
    </row>
    <row r="29" spans="2:11" ht="6.6" customHeight="1">
      <c r="C29" s="92"/>
      <c r="D29" s="92"/>
      <c r="F29" s="92"/>
      <c r="G29" s="92"/>
    </row>
    <row r="30" spans="2:11">
      <c r="B30" s="56" t="str">
        <f>'INPUT SHEET'!S857</f>
        <v>LIFE INSURANCE CORPORATION OF INDIA</v>
      </c>
      <c r="C30" s="91">
        <f>'INPUT SHEET'!T857</f>
        <v>24.486064500000001</v>
      </c>
      <c r="D30" s="91"/>
      <c r="E30" s="67">
        <f>'INPUT SHEET'!U857</f>
        <v>8.1600000000000006E-2</v>
      </c>
      <c r="F30" s="91">
        <f>'INPUT SHEET'!V857</f>
        <v>29995.429012500001</v>
      </c>
      <c r="G30" s="91"/>
    </row>
    <row r="31" spans="2:11">
      <c r="B31" s="56" t="str">
        <f>'INPUT SHEET'!S858</f>
        <v>ICICI PRUDENTIAL - THROUGH ITS VARIOUS SCHEMES</v>
      </c>
      <c r="C31" s="91">
        <f>'INPUT SHEET'!T858</f>
        <v>21.130237300000001</v>
      </c>
      <c r="D31" s="91"/>
      <c r="E31" s="67">
        <f>'INPUT SHEET'!U858</f>
        <v>7.0400000000000004E-2</v>
      </c>
      <c r="F31" s="91">
        <f>'INPUT SHEET'!V858</f>
        <v>25884.540692500002</v>
      </c>
      <c r="G31" s="91"/>
    </row>
    <row r="32" spans="2:11">
      <c r="B32" s="56" t="str">
        <f>'INPUT SHEET'!S859</f>
        <v>SBI - THROUGH ITS VARIOUS SCHEMES</v>
      </c>
      <c r="C32" s="91">
        <f>'INPUT SHEET'!T859</f>
        <v>15.797283</v>
      </c>
      <c r="D32" s="91"/>
      <c r="E32" s="67">
        <f>'INPUT SHEET'!U859</f>
        <v>5.2600000000000001E-2</v>
      </c>
      <c r="F32" s="91">
        <f>'INPUT SHEET'!V859</f>
        <v>19351.671675000001</v>
      </c>
      <c r="G32" s="91"/>
    </row>
    <row r="33" spans="2:11">
      <c r="B33" s="56" t="str">
        <f>'INPUT SHEET'!S860</f>
        <v>HDFC - THROUGH ITS VARIOUS SCHEMES</v>
      </c>
      <c r="C33" s="91">
        <f>'INPUT SHEET'!T860</f>
        <v>15.737319899999999</v>
      </c>
      <c r="D33" s="91"/>
      <c r="E33" s="67">
        <f>'INPUT SHEET'!U860</f>
        <v>5.2400000000000002E-2</v>
      </c>
      <c r="F33" s="91">
        <f>'INPUT SHEET'!V860</f>
        <v>19278.216877499999</v>
      </c>
      <c r="G33" s="91"/>
    </row>
    <row r="34" spans="2:11">
      <c r="B34" s="56" t="str">
        <f>'INPUT SHEET'!S861</f>
        <v>NIPPON- THROUGH ITS VARIOUS SCHEMES</v>
      </c>
      <c r="C34" s="91">
        <f>'INPUT SHEET'!T861</f>
        <v>9.6810814000000001</v>
      </c>
      <c r="D34" s="91"/>
      <c r="E34" s="67">
        <f>'INPUT SHEET'!U861</f>
        <v>3.2300000000000002E-2</v>
      </c>
      <c r="F34" s="91">
        <f>'INPUT SHEET'!V861</f>
        <v>11859.324715000001</v>
      </c>
      <c r="G34" s="91"/>
    </row>
    <row r="35" spans="2:11">
      <c r="B35" s="56" t="str">
        <f>'INPUT SHEET'!S862</f>
        <v>NPS TRUST - THROUGH ITS VARIOUS SCHEMES</v>
      </c>
      <c r="C35" s="91">
        <f>'INPUT SHEET'!T862</f>
        <v>7.6208410999999998</v>
      </c>
      <c r="D35" s="91"/>
      <c r="E35" s="67">
        <f>'INPUT SHEET'!U862</f>
        <v>2.5399999999999999E-2</v>
      </c>
      <c r="F35" s="91">
        <f>'INPUT SHEET'!V862</f>
        <v>9335.5303475000001</v>
      </c>
      <c r="G35" s="91"/>
    </row>
    <row r="36" spans="2:11">
      <c r="B36" s="56" t="str">
        <f>'INPUT SHEET'!S863</f>
        <v>DODGE AND COX INTERNATIONAL STOCK FUND</v>
      </c>
      <c r="C36" s="91">
        <f>'INPUT SHEET'!T863</f>
        <v>6.6840650000000004</v>
      </c>
      <c r="D36" s="91"/>
      <c r="E36" s="67">
        <f>'INPUT SHEET'!U863</f>
        <v>2.23E-2</v>
      </c>
      <c r="F36" s="91">
        <f>'INPUT SHEET'!V863</f>
        <v>8187.9796250000009</v>
      </c>
      <c r="G36" s="91"/>
    </row>
    <row r="37" spans="2:11">
      <c r="B37" s="56" t="str">
        <f>'INPUT SHEET'!S864</f>
        <v>GOVERNMENT PENSION FUND GLOBAL</v>
      </c>
      <c r="C37" s="91">
        <f>'INPUT SHEET'!T864</f>
        <v>6.4578889000000004</v>
      </c>
      <c r="D37" s="91"/>
      <c r="E37" s="67">
        <f>'INPUT SHEET'!U864</f>
        <v>2.1499999999999998E-2</v>
      </c>
      <c r="F37" s="91">
        <f>'INPUT SHEET'!V864</f>
        <v>7910.9139025000004</v>
      </c>
      <c r="G37" s="91"/>
    </row>
    <row r="38" spans="2:11">
      <c r="B38" s="56" t="str">
        <f>'INPUT SHEET'!S865</f>
        <v>GOVERNMENT OF SINGAPORE</v>
      </c>
      <c r="C38" s="91">
        <f>'INPUT SHEET'!T865</f>
        <v>5.7598047000000001</v>
      </c>
      <c r="D38" s="91"/>
      <c r="E38" s="67">
        <f>'INPUT SHEET'!U865</f>
        <v>1.9199999999999998E-2</v>
      </c>
      <c r="F38" s="91">
        <f>'INPUT SHEET'!V865</f>
        <v>7055.7607575000002</v>
      </c>
      <c r="G38" s="91"/>
    </row>
    <row r="39" spans="2:11">
      <c r="B39" s="56" t="str">
        <f>'INPUT SHEET'!S866</f>
        <v>UTI -THROUGH ITS VARIOUS SCHEMES</v>
      </c>
      <c r="C39" s="91">
        <f>'INPUT SHEET'!T866</f>
        <v>5.6237475999999997</v>
      </c>
      <c r="D39" s="91"/>
      <c r="E39" s="67">
        <f>'INPUT SHEET'!U866</f>
        <v>1.8700000000000001E-2</v>
      </c>
      <c r="F39" s="91">
        <f>'INPUT SHEET'!V866</f>
        <v>6889.0908099999997</v>
      </c>
      <c r="G39" s="91"/>
    </row>
    <row r="40" spans="2:11" ht="6.6" customHeight="1"/>
    <row r="41" spans="2:11" ht="15.6" customHeight="1">
      <c r="B41" s="25" t="s">
        <v>152</v>
      </c>
      <c r="C41" s="70" t="s">
        <v>150</v>
      </c>
      <c r="D41" s="98" t="s">
        <v>164</v>
      </c>
      <c r="E41" s="98"/>
      <c r="F41" s="93" t="s">
        <v>151</v>
      </c>
      <c r="G41" s="93"/>
      <c r="I41" s="88" t="s">
        <v>143</v>
      </c>
      <c r="J41" s="88"/>
      <c r="K41" s="88"/>
    </row>
    <row r="42" spans="2:11" ht="5.4" customHeight="1"/>
    <row r="43" spans="2:11">
      <c r="B43" s="56" t="s">
        <v>153</v>
      </c>
      <c r="C43" s="69" t="s">
        <v>154</v>
      </c>
      <c r="D43" s="100">
        <v>9.8000000000000007</v>
      </c>
      <c r="E43" s="100"/>
      <c r="F43" s="99">
        <v>101.8</v>
      </c>
      <c r="G43" s="99"/>
      <c r="I43" s="89" t="s">
        <v>144</v>
      </c>
      <c r="J43" s="89"/>
      <c r="K43" s="66">
        <f>'Data Sheet'!B8</f>
        <v>1226</v>
      </c>
    </row>
    <row r="44" spans="2:11">
      <c r="B44" s="56" t="s">
        <v>155</v>
      </c>
      <c r="C44" s="69" t="s">
        <v>156</v>
      </c>
      <c r="D44" s="100">
        <v>6.84</v>
      </c>
      <c r="E44" s="100"/>
      <c r="F44" s="99">
        <v>66.5</v>
      </c>
      <c r="G44" s="99"/>
      <c r="I44" s="85" t="s">
        <v>145</v>
      </c>
      <c r="J44" s="85"/>
      <c r="K44" s="71">
        <f>'Data Sheet'!B6</f>
        <v>312.26</v>
      </c>
    </row>
    <row r="45" spans="2:11" ht="15" thickBot="1">
      <c r="B45" s="56" t="s">
        <v>157</v>
      </c>
      <c r="C45" s="69" t="s">
        <v>158</v>
      </c>
      <c r="D45" s="100">
        <v>5.44</v>
      </c>
      <c r="E45" s="100"/>
      <c r="F45" s="99">
        <v>54</v>
      </c>
      <c r="G45" s="99"/>
      <c r="I45" s="86" t="s">
        <v>106</v>
      </c>
      <c r="J45" s="86"/>
      <c r="K45" s="73">
        <f>K43*K44</f>
        <v>382830.76</v>
      </c>
    </row>
    <row r="46" spans="2:11">
      <c r="B46" s="56" t="s">
        <v>159</v>
      </c>
      <c r="C46" s="69" t="s">
        <v>158</v>
      </c>
      <c r="D46" s="100">
        <v>5.63</v>
      </c>
      <c r="E46" s="100"/>
      <c r="F46" s="99">
        <v>54</v>
      </c>
      <c r="G46" s="99"/>
      <c r="I46" s="90" t="s">
        <v>146</v>
      </c>
      <c r="J46" s="90"/>
      <c r="K46" s="72">
        <f>'Data Sheet'!K69*-1</f>
        <v>-65564.5</v>
      </c>
    </row>
    <row r="47" spans="2:11">
      <c r="B47" s="56" t="s">
        <v>160</v>
      </c>
      <c r="C47" s="69" t="s">
        <v>161</v>
      </c>
      <c r="D47" s="100">
        <v>2.4900000000000002</v>
      </c>
      <c r="E47" s="100"/>
      <c r="F47" s="99">
        <v>32.9</v>
      </c>
      <c r="G47" s="99"/>
      <c r="I47" s="89" t="s">
        <v>147</v>
      </c>
      <c r="J47" s="89"/>
      <c r="K47" s="66">
        <f>'Data Sheet'!K59</f>
        <v>1391607.64</v>
      </c>
    </row>
    <row r="48" spans="2:11">
      <c r="B48" s="56" t="s">
        <v>162</v>
      </c>
      <c r="C48" s="69" t="s">
        <v>163</v>
      </c>
      <c r="D48" s="100">
        <v>1.35</v>
      </c>
      <c r="E48" s="100"/>
      <c r="F48" s="99">
        <v>17.899999999999999</v>
      </c>
      <c r="G48" s="99"/>
      <c r="I48" s="85" t="s">
        <v>148</v>
      </c>
      <c r="J48" s="85"/>
      <c r="K48" s="74">
        <v>635.13</v>
      </c>
    </row>
    <row r="49" spans="1:12" ht="15" thickBot="1">
      <c r="I49" s="86" t="s">
        <v>149</v>
      </c>
      <c r="J49" s="86"/>
      <c r="K49" s="75">
        <f>SUM(K45:K48)</f>
        <v>1709509.0299999998</v>
      </c>
    </row>
    <row r="50" spans="1:12" ht="4.8" customHeight="1">
      <c r="I50" s="87"/>
      <c r="J50" s="87"/>
    </row>
    <row r="51" spans="1:12" ht="15.6">
      <c r="A51" s="23"/>
      <c r="B51" s="25" t="s">
        <v>166</v>
      </c>
      <c r="C51" s="76"/>
      <c r="D51" s="76"/>
      <c r="E51" s="76"/>
      <c r="F51" s="76"/>
      <c r="G51" s="76"/>
      <c r="H51" s="76"/>
      <c r="I51" s="76"/>
      <c r="J51" s="76"/>
      <c r="K51" s="76"/>
      <c r="L51" s="23"/>
    </row>
    <row r="52" spans="1:12" ht="6" customHeight="1"/>
    <row r="53" spans="1:12">
      <c r="B53" s="101" t="s">
        <v>169</v>
      </c>
      <c r="C53" s="101"/>
      <c r="D53" s="101"/>
      <c r="E53" s="101"/>
      <c r="F53" s="101"/>
      <c r="G53" s="101"/>
      <c r="H53" s="101"/>
      <c r="I53" s="101"/>
      <c r="J53" s="101"/>
      <c r="K53" s="101"/>
    </row>
    <row r="54" spans="1:12">
      <c r="B54" s="101" t="s">
        <v>170</v>
      </c>
      <c r="C54" s="101"/>
      <c r="D54" s="101"/>
      <c r="E54" s="101"/>
      <c r="F54" s="101"/>
      <c r="G54" s="101"/>
      <c r="H54" s="101"/>
      <c r="I54" s="101"/>
      <c r="J54" s="101"/>
      <c r="K54" s="101"/>
    </row>
    <row r="55" spans="1:12">
      <c r="B55" s="19"/>
      <c r="C55" s="19"/>
      <c r="D55" s="19"/>
      <c r="E55" s="19"/>
      <c r="F55" s="19"/>
      <c r="G55" s="19"/>
      <c r="H55" s="19"/>
      <c r="I55" s="19"/>
      <c r="J55" s="19"/>
      <c r="K55" s="19"/>
    </row>
    <row r="56" spans="1:12">
      <c r="B56" s="101" t="s">
        <v>167</v>
      </c>
      <c r="C56" s="101"/>
      <c r="D56" s="101"/>
      <c r="E56" s="101"/>
      <c r="F56" s="101"/>
      <c r="G56" s="101"/>
      <c r="H56" s="101"/>
      <c r="I56" s="101"/>
      <c r="J56" s="101"/>
      <c r="K56" s="101"/>
    </row>
    <row r="57" spans="1:12">
      <c r="B57" s="101" t="s">
        <v>168</v>
      </c>
      <c r="C57" s="101"/>
      <c r="D57" s="101"/>
      <c r="E57" s="101"/>
      <c r="F57" s="101"/>
      <c r="G57" s="101"/>
      <c r="H57" s="101"/>
      <c r="I57" s="101"/>
      <c r="J57" s="101"/>
      <c r="K57" s="101"/>
    </row>
    <row r="58" spans="1:12">
      <c r="B58" s="19"/>
      <c r="C58" s="19"/>
      <c r="D58" s="19"/>
      <c r="E58" s="19"/>
      <c r="F58" s="19"/>
      <c r="G58" s="19"/>
      <c r="H58" s="19"/>
      <c r="I58" s="19"/>
      <c r="J58" s="19"/>
      <c r="K58" s="19"/>
    </row>
    <row r="59" spans="1:12">
      <c r="B59" s="101" t="s">
        <v>171</v>
      </c>
      <c r="C59" s="101"/>
      <c r="D59" s="101"/>
      <c r="E59" s="101"/>
      <c r="F59" s="101"/>
      <c r="G59" s="101"/>
      <c r="H59" s="101"/>
      <c r="I59" s="101"/>
      <c r="J59" s="101"/>
      <c r="K59" s="101"/>
    </row>
    <row r="60" spans="1:12">
      <c r="B60" s="101" t="s">
        <v>172</v>
      </c>
      <c r="C60" s="101"/>
      <c r="D60" s="101"/>
      <c r="E60" s="101"/>
      <c r="F60" s="101"/>
      <c r="G60" s="101"/>
      <c r="H60" s="101"/>
      <c r="I60" s="101"/>
      <c r="J60" s="101"/>
      <c r="K60" s="101"/>
    </row>
    <row r="62" spans="1:12" ht="15.6">
      <c r="B62" s="25" t="s">
        <v>173</v>
      </c>
      <c r="C62" s="76"/>
      <c r="D62" s="76"/>
      <c r="E62" s="76"/>
      <c r="F62" s="76"/>
      <c r="G62" s="76"/>
      <c r="H62" s="76"/>
      <c r="I62" s="76"/>
      <c r="J62" s="76"/>
      <c r="K62" s="76"/>
    </row>
    <row r="63" spans="1:12" ht="5.4" customHeight="1"/>
    <row r="64" spans="1:12">
      <c r="B64" t="s">
        <v>174</v>
      </c>
      <c r="C64" t="s">
        <v>175</v>
      </c>
      <c r="F64" s="92" t="s">
        <v>180</v>
      </c>
      <c r="G64" s="92"/>
      <c r="I64" t="s">
        <v>181</v>
      </c>
    </row>
    <row r="65" spans="2:11">
      <c r="B65" t="s">
        <v>176</v>
      </c>
      <c r="C65" t="s">
        <v>177</v>
      </c>
      <c r="F65" s="92" t="s">
        <v>182</v>
      </c>
      <c r="G65" s="92"/>
      <c r="I65" s="77" t="s">
        <v>183</v>
      </c>
    </row>
    <row r="66" spans="2:11">
      <c r="B66" t="s">
        <v>178</v>
      </c>
      <c r="C66" t="s">
        <v>179</v>
      </c>
      <c r="F66" s="92" t="s">
        <v>184</v>
      </c>
      <c r="G66" s="92"/>
      <c r="I66" t="s">
        <v>185</v>
      </c>
    </row>
    <row r="67" spans="2:11" ht="5.4" customHeight="1"/>
    <row r="68" spans="2:11" ht="15.6">
      <c r="B68" s="25" t="s">
        <v>186</v>
      </c>
      <c r="C68" s="76"/>
      <c r="D68" s="76"/>
      <c r="E68" s="76"/>
      <c r="F68" s="76"/>
      <c r="G68" s="76"/>
      <c r="H68" s="76"/>
      <c r="I68" s="76"/>
      <c r="J68" s="76"/>
      <c r="K68" s="76"/>
    </row>
    <row r="69" spans="2:11" ht="7.2" customHeight="1"/>
    <row r="70" spans="2:11">
      <c r="B70" t="s">
        <v>187</v>
      </c>
    </row>
    <row r="71" spans="2:11">
      <c r="B71" t="s">
        <v>188</v>
      </c>
    </row>
    <row r="72" spans="2:11" ht="15.6">
      <c r="B72" t="s">
        <v>190</v>
      </c>
      <c r="J72" s="78" t="s">
        <v>189</v>
      </c>
    </row>
    <row r="74" spans="2:11">
      <c r="B74" s="76"/>
      <c r="C74" s="76"/>
      <c r="D74" s="76"/>
      <c r="E74" s="76"/>
      <c r="F74" s="76"/>
      <c r="G74" s="76"/>
      <c r="H74" s="76"/>
      <c r="I74" s="76"/>
      <c r="J74" s="76"/>
      <c r="K74" s="76"/>
    </row>
  </sheetData>
  <mergeCells count="61">
    <mergeCell ref="B60:K60"/>
    <mergeCell ref="F64:G64"/>
    <mergeCell ref="F65:G65"/>
    <mergeCell ref="F66:G66"/>
    <mergeCell ref="B53:K53"/>
    <mergeCell ref="B54:K54"/>
    <mergeCell ref="B56:K56"/>
    <mergeCell ref="B57:K57"/>
    <mergeCell ref="B59:K59"/>
    <mergeCell ref="F48:G48"/>
    <mergeCell ref="F46:G46"/>
    <mergeCell ref="D43:E43"/>
    <mergeCell ref="D45:E45"/>
    <mergeCell ref="D46:E46"/>
    <mergeCell ref="D47:E47"/>
    <mergeCell ref="D48:E48"/>
    <mergeCell ref="D44:E44"/>
    <mergeCell ref="F44:G44"/>
    <mergeCell ref="F45:G45"/>
    <mergeCell ref="F47:G47"/>
    <mergeCell ref="D41:E41"/>
    <mergeCell ref="F43:G43"/>
    <mergeCell ref="C39:D39"/>
    <mergeCell ref="F30:G30"/>
    <mergeCell ref="F31:G31"/>
    <mergeCell ref="C34:D34"/>
    <mergeCell ref="C35:D35"/>
    <mergeCell ref="C36:D36"/>
    <mergeCell ref="C37:D37"/>
    <mergeCell ref="C38:D38"/>
    <mergeCell ref="F37:G37"/>
    <mergeCell ref="F38:G38"/>
    <mergeCell ref="F39:G39"/>
    <mergeCell ref="F32:G32"/>
    <mergeCell ref="F33:G33"/>
    <mergeCell ref="F34:G34"/>
    <mergeCell ref="C28:D28"/>
    <mergeCell ref="B2:K2"/>
    <mergeCell ref="C4:K4"/>
    <mergeCell ref="I6:K6"/>
    <mergeCell ref="I19:K19"/>
    <mergeCell ref="F28:G28"/>
    <mergeCell ref="I28:K28"/>
    <mergeCell ref="C29:D29"/>
    <mergeCell ref="C30:D30"/>
    <mergeCell ref="C31:D31"/>
    <mergeCell ref="C32:D32"/>
    <mergeCell ref="C33:D33"/>
    <mergeCell ref="F35:G35"/>
    <mergeCell ref="F36:G36"/>
    <mergeCell ref="F29:G29"/>
    <mergeCell ref="I47:J47"/>
    <mergeCell ref="F41:G41"/>
    <mergeCell ref="I48:J48"/>
    <mergeCell ref="I49:J49"/>
    <mergeCell ref="I50:J50"/>
    <mergeCell ref="I41:K41"/>
    <mergeCell ref="I43:J43"/>
    <mergeCell ref="I44:J44"/>
    <mergeCell ref="I45:J45"/>
    <mergeCell ref="I46:J46"/>
  </mergeCells>
  <pageMargins left="0.31496062992125984" right="0.59055118110236227" top="0.78740157480314965" bottom="0.39370078740157483" header="0" footer="0"/>
  <pageSetup paperSize="12" scale="45" orientation="portrait" r:id="rId1"/>
  <colBreaks count="1" manualBreakCount="1">
    <brk id="12"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46"/>
  <sheetViews>
    <sheetView zoomScale="120" zoomScaleNormal="120" zoomScaleSheetLayoutView="100" zoomScalePageLayoutView="120" workbookViewId="0">
      <pane xSplit="1" ySplit="4" topLeftCell="B5" activePane="bottomRight" state="frozen"/>
      <selection activeCell="I2" sqref="I2"/>
      <selection pane="topRight" activeCell="I2" sqref="I2"/>
      <selection pane="bottomLeft" activeCell="I2" sqref="I2"/>
      <selection pane="bottomRight" activeCell="B6" sqref="B6"/>
    </sheetView>
  </sheetViews>
  <sheetFormatPr defaultColWidth="8.77734375" defaultRowHeight="14.4"/>
  <cols>
    <col min="1" max="1" width="22.21875" customWidth="1"/>
    <col min="2" max="6" width="13.44140625" customWidth="1"/>
    <col min="7" max="7" width="14.77734375" bestFit="1" customWidth="1"/>
    <col min="8" max="11" width="13.44140625" customWidth="1"/>
    <col min="12" max="12" width="13.33203125" customWidth="1"/>
    <col min="13" max="14" width="12.109375" customWidth="1"/>
  </cols>
  <sheetData>
    <row r="1" spans="1:14" s="2" customFormat="1">
      <c r="A1" s="2" t="str">
        <f>'Data Sheet'!B1</f>
        <v>AXIS BANK LTD</v>
      </c>
      <c r="H1" t="str">
        <f>UPDATE</f>
        <v/>
      </c>
      <c r="J1" s="3"/>
      <c r="K1" s="3"/>
      <c r="M1" s="2" t="s">
        <v>1</v>
      </c>
    </row>
    <row r="3" spans="1:14" s="2" customFormat="1">
      <c r="A3" s="11" t="s">
        <v>2</v>
      </c>
      <c r="B3" s="12">
        <f>'Data Sheet'!B16</f>
        <v>42460</v>
      </c>
      <c r="C3" s="12">
        <f>'Data Sheet'!C16</f>
        <v>42825</v>
      </c>
      <c r="D3" s="12">
        <f>'Data Sheet'!D16</f>
        <v>43190</v>
      </c>
      <c r="E3" s="12">
        <f>'Data Sheet'!E16</f>
        <v>43555</v>
      </c>
      <c r="F3" s="12">
        <f>'Data Sheet'!F16</f>
        <v>43921</v>
      </c>
      <c r="G3" s="12">
        <f>'Data Sheet'!G16</f>
        <v>44286</v>
      </c>
      <c r="H3" s="12">
        <f>'Data Sheet'!H16</f>
        <v>44651</v>
      </c>
      <c r="I3" s="12">
        <f>'Data Sheet'!I16</f>
        <v>45016</v>
      </c>
      <c r="J3" s="12">
        <f>'Data Sheet'!J16</f>
        <v>45382</v>
      </c>
      <c r="K3" s="12">
        <f>'Data Sheet'!K16</f>
        <v>45747</v>
      </c>
      <c r="L3" s="13" t="s">
        <v>3</v>
      </c>
      <c r="M3" s="13" t="s">
        <v>4</v>
      </c>
      <c r="N3" s="13" t="s">
        <v>5</v>
      </c>
    </row>
    <row r="4" spans="1:14" s="2" customFormat="1">
      <c r="A4" s="2" t="s">
        <v>6</v>
      </c>
      <c r="B4" s="1">
        <f>'Data Sheet'!B17</f>
        <v>41409.25</v>
      </c>
      <c r="C4" s="1">
        <f>'Data Sheet'!C17</f>
        <v>45175.09</v>
      </c>
      <c r="D4" s="1">
        <f>'Data Sheet'!D17</f>
        <v>46614.06</v>
      </c>
      <c r="E4" s="1">
        <f>'Data Sheet'!E17</f>
        <v>56043.65</v>
      </c>
      <c r="F4" s="1">
        <f>'Data Sheet'!F17</f>
        <v>63715.68</v>
      </c>
      <c r="G4" s="1">
        <f>'Data Sheet'!G17</f>
        <v>64397.36</v>
      </c>
      <c r="H4" s="1">
        <f>'Data Sheet'!H17</f>
        <v>68846.06</v>
      </c>
      <c r="I4" s="1">
        <f>'Data Sheet'!I17</f>
        <v>87448.37</v>
      </c>
      <c r="J4" s="1">
        <f>'Data Sheet'!J17</f>
        <v>112759.05</v>
      </c>
      <c r="K4" s="1">
        <f>'Data Sheet'!K17</f>
        <v>127374.09</v>
      </c>
      <c r="L4" s="1">
        <f>SUM(Quarters!H4:K4)</f>
        <v>129272.6</v>
      </c>
      <c r="M4" s="1">
        <f>$K4+M23*K4</f>
        <v>156368.1970529838</v>
      </c>
      <c r="N4" s="1">
        <f>$K4+N23*L4</f>
        <v>144129.50093955651</v>
      </c>
    </row>
    <row r="5" spans="1:14">
      <c r="A5" t="s">
        <v>7</v>
      </c>
      <c r="B5" s="6">
        <f>SUM('Data Sheet'!B18,'Data Sheet'!B20:B24, -1*'Data Sheet'!B19)</f>
        <v>13868.650000000001</v>
      </c>
      <c r="C5" s="6">
        <f>SUM('Data Sheet'!C18,'Data Sheet'!C20:C24, -1*'Data Sheet'!C19)</f>
        <v>24326.86</v>
      </c>
      <c r="D5" s="6">
        <f>SUM('Data Sheet'!D18,'Data Sheet'!D20:D24, -1*'Data Sheet'!D19)</f>
        <v>29716.53</v>
      </c>
      <c r="E5" s="6">
        <f>SUM('Data Sheet'!E18,'Data Sheet'!E20:E24, -1*'Data Sheet'!E19)</f>
        <v>28019.71</v>
      </c>
      <c r="F5" s="6">
        <f>SUM('Data Sheet'!F18,'Data Sheet'!F20:F24, -1*'Data Sheet'!F19)</f>
        <v>35975.61</v>
      </c>
      <c r="G5" s="6">
        <f>SUM('Data Sheet'!G18,'Data Sheet'!G20:G24, -1*'Data Sheet'!G19)</f>
        <v>32620.989999999998</v>
      </c>
      <c r="H5" s="6">
        <f>SUM('Data Sheet'!H18,'Data Sheet'!H20:H24, -1*'Data Sheet'!H19)</f>
        <v>31216.48</v>
      </c>
      <c r="I5" s="6">
        <f>SUM('Data Sheet'!I18,'Data Sheet'!I20:I24, -1*'Data Sheet'!I19)</f>
        <v>30641.32</v>
      </c>
      <c r="J5" s="6">
        <f>SUM('Data Sheet'!J18,'Data Sheet'!J20:J24, -1*'Data Sheet'!J19)</f>
        <v>40035.649999999994</v>
      </c>
      <c r="K5" s="6">
        <f>SUM('Data Sheet'!K18,'Data Sheet'!K20:K24, -1*'Data Sheet'!K19)</f>
        <v>46394.91</v>
      </c>
      <c r="L5" s="6">
        <f>SUM(Quarters!H5:K5)</f>
        <v>52140.340000000004</v>
      </c>
      <c r="M5" s="6">
        <f t="shared" ref="M5:N5" si="0">M4-M6</f>
        <v>55883.248114960064</v>
      </c>
      <c r="N5" s="6">
        <f t="shared" si="0"/>
        <v>63165.048444653963</v>
      </c>
    </row>
    <row r="6" spans="1:14" s="2" customFormat="1">
      <c r="A6" s="2" t="s">
        <v>8</v>
      </c>
      <c r="B6" s="1">
        <f>B4-B5</f>
        <v>27540.6</v>
      </c>
      <c r="C6" s="1">
        <f t="shared" ref="C6:K6" si="1">C4-C5</f>
        <v>20848.229999999996</v>
      </c>
      <c r="D6" s="1">
        <f t="shared" si="1"/>
        <v>16897.53</v>
      </c>
      <c r="E6" s="1">
        <f t="shared" si="1"/>
        <v>28023.940000000002</v>
      </c>
      <c r="F6" s="1">
        <f t="shared" si="1"/>
        <v>27740.07</v>
      </c>
      <c r="G6" s="1">
        <f t="shared" si="1"/>
        <v>31776.370000000003</v>
      </c>
      <c r="H6" s="1">
        <f t="shared" si="1"/>
        <v>37629.58</v>
      </c>
      <c r="I6" s="1">
        <f t="shared" si="1"/>
        <v>56807.049999999996</v>
      </c>
      <c r="J6" s="1">
        <f t="shared" si="1"/>
        <v>72723.400000000009</v>
      </c>
      <c r="K6" s="1">
        <f t="shared" si="1"/>
        <v>80979.179999999993</v>
      </c>
      <c r="L6" s="1">
        <f>SUM(Quarters!H6:K6)</f>
        <v>77132.259999999995</v>
      </c>
      <c r="M6" s="1">
        <f>M4*M24</f>
        <v>100484.94893802374</v>
      </c>
      <c r="N6" s="1">
        <f>N4*N24</f>
        <v>80964.452494902551</v>
      </c>
    </row>
    <row r="7" spans="1:14">
      <c r="A7" t="s">
        <v>9</v>
      </c>
      <c r="B7" s="6">
        <f>'Data Sheet'!B25</f>
        <v>9954.98</v>
      </c>
      <c r="C7" s="6">
        <f>'Data Sheet'!C25</f>
        <v>12421.6</v>
      </c>
      <c r="D7" s="6">
        <f>'Data Sheet'!D25</f>
        <v>11862.62</v>
      </c>
      <c r="E7" s="6">
        <f>'Data Sheet'!E25</f>
        <v>14188.75</v>
      </c>
      <c r="F7" s="6">
        <f>'Data Sheet'!F25</f>
        <v>16341.99</v>
      </c>
      <c r="G7" s="6">
        <f>'Data Sheet'!G25</f>
        <v>13576.92</v>
      </c>
      <c r="H7" s="6">
        <f>'Data Sheet'!H25</f>
        <v>17268.13</v>
      </c>
      <c r="I7" s="6">
        <f>'Data Sheet'!I25</f>
        <v>18348.93</v>
      </c>
      <c r="J7" s="6">
        <f>'Data Sheet'!J25</f>
        <v>25230.31</v>
      </c>
      <c r="K7" s="6">
        <f>'Data Sheet'!K25</f>
        <v>28542.77</v>
      </c>
      <c r="L7" s="6">
        <f>SUM(Quarters!H7:K7)</f>
        <v>29815.46</v>
      </c>
      <c r="M7" s="6">
        <v>0</v>
      </c>
      <c r="N7" s="6">
        <v>0</v>
      </c>
    </row>
    <row r="8" spans="1:14">
      <c r="A8" t="s">
        <v>10</v>
      </c>
      <c r="B8" s="6">
        <f>'Data Sheet'!B26</f>
        <v>461.39</v>
      </c>
      <c r="C8" s="6">
        <f>'Data Sheet'!C26</f>
        <v>526.66999999999996</v>
      </c>
      <c r="D8" s="6">
        <f>'Data Sheet'!D26</f>
        <v>590.58000000000004</v>
      </c>
      <c r="E8" s="6">
        <f>'Data Sheet'!E26</f>
        <v>737.17</v>
      </c>
      <c r="F8" s="6">
        <f>'Data Sheet'!F26</f>
        <v>806.07</v>
      </c>
      <c r="G8" s="6">
        <f>'Data Sheet'!G26</f>
        <v>975.83</v>
      </c>
      <c r="H8" s="6">
        <f>'Data Sheet'!H26</f>
        <v>1045.5899999999999</v>
      </c>
      <c r="I8" s="6">
        <f>'Data Sheet'!I26</f>
        <v>13145.65</v>
      </c>
      <c r="J8" s="6">
        <f>'Data Sheet'!J26</f>
        <v>1384.97</v>
      </c>
      <c r="K8" s="6">
        <f>'Data Sheet'!K26</f>
        <v>1763.48</v>
      </c>
      <c r="L8" s="6">
        <f>SUM(Quarters!H8:K8)</f>
        <v>0</v>
      </c>
      <c r="M8" s="6">
        <f>+$L8</f>
        <v>0</v>
      </c>
      <c r="N8" s="6">
        <f>+$L8</f>
        <v>0</v>
      </c>
    </row>
    <row r="9" spans="1:14">
      <c r="A9" t="s">
        <v>11</v>
      </c>
      <c r="B9" s="6">
        <f>'Data Sheet'!B27</f>
        <v>24344.23</v>
      </c>
      <c r="C9" s="6">
        <f>'Data Sheet'!C27</f>
        <v>26789.35</v>
      </c>
      <c r="D9" s="6">
        <f>'Data Sheet'!D27</f>
        <v>27603.69</v>
      </c>
      <c r="E9" s="6">
        <f>'Data Sheet'!E27</f>
        <v>33883.47</v>
      </c>
      <c r="F9" s="6">
        <f>'Data Sheet'!F27</f>
        <v>37995.94</v>
      </c>
      <c r="G9" s="6">
        <f>'Data Sheet'!G27</f>
        <v>34627.379999999997</v>
      </c>
      <c r="H9" s="6">
        <f>'Data Sheet'!H27</f>
        <v>34922.660000000003</v>
      </c>
      <c r="I9" s="6">
        <f>'Data Sheet'!I27</f>
        <v>43389.15</v>
      </c>
      <c r="J9" s="6">
        <f>'Data Sheet'!J27</f>
        <v>61390.74</v>
      </c>
      <c r="K9" s="6">
        <f>'Data Sheet'!K27</f>
        <v>71036.31</v>
      </c>
      <c r="L9" s="6">
        <f>SUM(Quarters!H9:K9)</f>
        <v>72370.55</v>
      </c>
      <c r="M9" s="6">
        <f>+$L9</f>
        <v>72370.55</v>
      </c>
      <c r="N9" s="6">
        <f>+$L9</f>
        <v>72370.55</v>
      </c>
    </row>
    <row r="10" spans="1:14">
      <c r="A10" t="s">
        <v>12</v>
      </c>
      <c r="B10" s="6">
        <f>'Data Sheet'!B28</f>
        <v>12689.96</v>
      </c>
      <c r="C10" s="6">
        <f>'Data Sheet'!C28</f>
        <v>5953.81</v>
      </c>
      <c r="D10" s="6">
        <f>'Data Sheet'!D28</f>
        <v>565.88</v>
      </c>
      <c r="E10" s="6">
        <f>'Data Sheet'!E28</f>
        <v>7592.05</v>
      </c>
      <c r="F10" s="6">
        <f>'Data Sheet'!F28</f>
        <v>5280.05</v>
      </c>
      <c r="G10" s="6">
        <f>'Data Sheet'!G28</f>
        <v>9750.08</v>
      </c>
      <c r="H10" s="6">
        <f>'Data Sheet'!H28</f>
        <v>18929.46</v>
      </c>
      <c r="I10" s="6">
        <f>'Data Sheet'!I28</f>
        <v>18621.18</v>
      </c>
      <c r="J10" s="6">
        <f>'Data Sheet'!J28</f>
        <v>35178</v>
      </c>
      <c r="K10" s="6">
        <f>'Data Sheet'!K28</f>
        <v>36722.160000000003</v>
      </c>
      <c r="L10" s="6">
        <f>SUM(Quarters!H10:K10)</f>
        <v>34577.17</v>
      </c>
      <c r="M10" s="6">
        <f>M6+M7-SUM(M8:M9)</f>
        <v>28114.398938023733</v>
      </c>
      <c r="N10" s="6">
        <f>N6+N7-SUM(N8:N9)</f>
        <v>8593.9024949025479</v>
      </c>
    </row>
    <row r="11" spans="1:14">
      <c r="A11" t="s">
        <v>13</v>
      </c>
      <c r="B11" s="6">
        <f>'Data Sheet'!B29</f>
        <v>4332.38</v>
      </c>
      <c r="C11" s="6">
        <f>'Data Sheet'!C29</f>
        <v>1986.78</v>
      </c>
      <c r="D11" s="6">
        <f>'Data Sheet'!D29</f>
        <v>101.86</v>
      </c>
      <c r="E11" s="6">
        <f>'Data Sheet'!E29</f>
        <v>2544.96</v>
      </c>
      <c r="F11" s="6">
        <f>'Data Sheet'!F29</f>
        <v>3401.29</v>
      </c>
      <c r="G11" s="6">
        <f>'Data Sheet'!G29</f>
        <v>2497.69</v>
      </c>
      <c r="H11" s="6">
        <f>'Data Sheet'!H29</f>
        <v>4765.1099999999997</v>
      </c>
      <c r="I11" s="6">
        <f>'Data Sheet'!I29</f>
        <v>7768.52</v>
      </c>
      <c r="J11" s="6">
        <f>'Data Sheet'!J29</f>
        <v>8754.4599999999991</v>
      </c>
      <c r="K11" s="6">
        <f>'Data Sheet'!K29</f>
        <v>8610.42</v>
      </c>
      <c r="L11" s="6">
        <f>SUM(Quarters!H11:K11)</f>
        <v>8506.6799999999985</v>
      </c>
      <c r="M11" s="7">
        <f>IF($L10&gt;0,$L11/$L10,0)</f>
        <v>0.24602013409425927</v>
      </c>
      <c r="N11" s="7">
        <f>IF($L10&gt;0,$L11/$L10,0)</f>
        <v>0.24602013409425927</v>
      </c>
    </row>
    <row r="12" spans="1:14" s="2" customFormat="1">
      <c r="A12" s="2" t="s">
        <v>14</v>
      </c>
      <c r="B12" s="1">
        <f>'Data Sheet'!B30</f>
        <v>8349.67</v>
      </c>
      <c r="C12" s="1">
        <f>'Data Sheet'!C30</f>
        <v>3953.03</v>
      </c>
      <c r="D12" s="1">
        <f>'Data Sheet'!D30</f>
        <v>455.82</v>
      </c>
      <c r="E12" s="1">
        <f>'Data Sheet'!E30</f>
        <v>5038.59</v>
      </c>
      <c r="F12" s="1">
        <f>'Data Sheet'!F30</f>
        <v>1853.11</v>
      </c>
      <c r="G12" s="1">
        <f>'Data Sheet'!G30</f>
        <v>7195.5</v>
      </c>
      <c r="H12" s="1">
        <f>'Data Sheet'!H30</f>
        <v>14119.29</v>
      </c>
      <c r="I12" s="1">
        <f>'Data Sheet'!I30</f>
        <v>10818.45</v>
      </c>
      <c r="J12" s="1">
        <f>'Data Sheet'!J30</f>
        <v>26386.2</v>
      </c>
      <c r="K12" s="1">
        <f>'Data Sheet'!K30</f>
        <v>28055.11</v>
      </c>
      <c r="L12" s="1">
        <f>SUM(Quarters!H12:K12)</f>
        <v>25988.989999999998</v>
      </c>
      <c r="M12" s="1">
        <f>M10-M11*M10</f>
        <v>21197.690741311635</v>
      </c>
      <c r="N12" s="1">
        <f>N10-N11*N10</f>
        <v>6479.6294507136336</v>
      </c>
    </row>
    <row r="13" spans="1:14">
      <c r="A13" t="s">
        <v>48</v>
      </c>
      <c r="B13" s="6">
        <f>IF('Data Sheet'!B93&gt;0,B12/'Data Sheet'!B93,0)</f>
        <v>35.041421856639246</v>
      </c>
      <c r="C13" s="6">
        <f>IF('Data Sheet'!C93&gt;0,C12/'Data Sheet'!C93,0)</f>
        <v>16.505344467640921</v>
      </c>
      <c r="D13" s="6">
        <f>IF('Data Sheet'!D93&gt;0,D12/'Data Sheet'!D93,0)</f>
        <v>1.7760374050263006</v>
      </c>
      <c r="E13" s="6">
        <f>IF('Data Sheet'!E93&gt;0,E12/'Data Sheet'!E93,0)</f>
        <v>19.593210452636491</v>
      </c>
      <c r="F13" s="6">
        <f>IF('Data Sheet'!F93&gt;0,F12/'Data Sheet'!F93,0)</f>
        <v>6.5673530141404113</v>
      </c>
      <c r="G13" s="6">
        <f>IF('Data Sheet'!G93&gt;0,G12/'Data Sheet'!G93,0)</f>
        <v>23.486307406077618</v>
      </c>
      <c r="H13" s="6">
        <f>IF('Data Sheet'!H93&gt;0,H12/'Data Sheet'!H93,0)</f>
        <v>45.995667329054953</v>
      </c>
      <c r="I13" s="6">
        <f>IF('Data Sheet'!I93&gt;0,I12/'Data Sheet'!I93,0)</f>
        <v>35.160226201696517</v>
      </c>
      <c r="J13" s="6">
        <f>IF('Data Sheet'!J93&gt;0,J12/'Data Sheet'!J93,0)</f>
        <v>85.486295600336931</v>
      </c>
      <c r="K13" s="6">
        <f>IF('Data Sheet'!K93&gt;0,K12/'Data Sheet'!K93,0)</f>
        <v>90.576322076580354</v>
      </c>
      <c r="L13" s="6">
        <f>IF('Data Sheet'!$B6&gt;0,'Profit &amp; Loss'!L12/'Data Sheet'!$B6,0)</f>
        <v>83.228687632101455</v>
      </c>
      <c r="M13" s="6">
        <f>IF('Data Sheet'!$B6&gt;0,'Profit &amp; Loss'!M12/'Data Sheet'!$B6,0)</f>
        <v>67.884745857015417</v>
      </c>
      <c r="N13" s="6">
        <f>IF('Data Sheet'!$B6&gt;0,'Profit &amp; Loss'!N12/'Data Sheet'!$B6,0)</f>
        <v>20.750750818912554</v>
      </c>
    </row>
    <row r="14" spans="1:14">
      <c r="A14" t="s">
        <v>16</v>
      </c>
      <c r="B14" s="6">
        <f>IF(B15&gt;0,B15/B13,"")</f>
        <v>12.674999371232635</v>
      </c>
      <c r="C14" s="6">
        <f t="shared" ref="C14:K14" si="2">IF(C15&gt;0,C15/C13,"")</f>
        <v>29.735822900408039</v>
      </c>
      <c r="D14" s="6">
        <f t="shared" si="2"/>
        <v>287.43763985783858</v>
      </c>
      <c r="E14" s="6">
        <f t="shared" si="2"/>
        <v>39.669353926396077</v>
      </c>
      <c r="F14" s="6">
        <f t="shared" si="2"/>
        <v>57.709704226948219</v>
      </c>
      <c r="G14" s="6">
        <f t="shared" si="2"/>
        <v>29.696026196928639</v>
      </c>
      <c r="H14" s="6">
        <f t="shared" si="2"/>
        <v>16.548297789761385</v>
      </c>
      <c r="I14" s="6">
        <f t="shared" si="2"/>
        <v>24.416793995442966</v>
      </c>
      <c r="J14" s="6">
        <f t="shared" si="2"/>
        <v>12.249916698880478</v>
      </c>
      <c r="K14" s="6">
        <f t="shared" si="2"/>
        <v>12.166535080418505</v>
      </c>
      <c r="L14" s="6">
        <f t="shared" ref="L14" si="3">IF(L13&gt;0,L15/L13,0)</f>
        <v>14.730497799260378</v>
      </c>
      <c r="M14" s="6">
        <f>M25</f>
        <v>15.890935893500581</v>
      </c>
      <c r="N14" s="6">
        <f>N25</f>
        <v>14.730497799260378</v>
      </c>
    </row>
    <row r="15" spans="1:14" s="2" customFormat="1">
      <c r="A15" s="2" t="s">
        <v>49</v>
      </c>
      <c r="B15" s="1">
        <f>'Data Sheet'!B90</f>
        <v>444.15</v>
      </c>
      <c r="C15" s="1">
        <f>'Data Sheet'!C90</f>
        <v>490.8</v>
      </c>
      <c r="D15" s="1">
        <f>'Data Sheet'!D90</f>
        <v>510.5</v>
      </c>
      <c r="E15" s="1">
        <f>'Data Sheet'!E90</f>
        <v>777.25</v>
      </c>
      <c r="F15" s="1">
        <f>'Data Sheet'!F90</f>
        <v>379</v>
      </c>
      <c r="G15" s="1">
        <f>'Data Sheet'!G90</f>
        <v>697.45</v>
      </c>
      <c r="H15" s="1">
        <f>'Data Sheet'!H90</f>
        <v>761.15</v>
      </c>
      <c r="I15" s="1">
        <f>'Data Sheet'!I90</f>
        <v>858.5</v>
      </c>
      <c r="J15" s="1">
        <f>'Data Sheet'!J90</f>
        <v>1047.2</v>
      </c>
      <c r="K15" s="1">
        <f>'Data Sheet'!K90</f>
        <v>1102</v>
      </c>
      <c r="L15" s="1">
        <f>'Data Sheet'!B8</f>
        <v>1226</v>
      </c>
      <c r="M15" s="8">
        <f>M13*M14</f>
        <v>1078.7521445604111</v>
      </c>
      <c r="N15" s="9">
        <f>N13*N14</f>
        <v>305.66888927099188</v>
      </c>
    </row>
    <row r="17" spans="1:14" s="2" customFormat="1">
      <c r="A17" s="2" t="s">
        <v>15</v>
      </c>
    </row>
    <row r="18" spans="1:14">
      <c r="A18" t="s">
        <v>17</v>
      </c>
      <c r="B18" s="5">
        <f>IF('Data Sheet'!B30&gt;0, 'Data Sheet'!B31/'Data Sheet'!B30, 0)</f>
        <v>0.14269066921207665</v>
      </c>
      <c r="C18" s="5">
        <f>IF('Data Sheet'!C30&gt;0, 'Data Sheet'!C31/'Data Sheet'!C30, 0)</f>
        <v>0.30293724054712456</v>
      </c>
      <c r="D18" s="5">
        <f>IF('Data Sheet'!D30&gt;0, 'Data Sheet'!D31/'Data Sheet'!D30, 0)</f>
        <v>0</v>
      </c>
      <c r="E18" s="5">
        <f>IF('Data Sheet'!E30&gt;0, 'Data Sheet'!E31/'Data Sheet'!E30, 0)</f>
        <v>5.1038088036534035E-2</v>
      </c>
      <c r="F18" s="5">
        <f>IF('Data Sheet'!F30&gt;0, 'Data Sheet'!F31/'Data Sheet'!F30, 0)</f>
        <v>0</v>
      </c>
      <c r="G18" s="5">
        <f>IF('Data Sheet'!G30&gt;0, 'Data Sheet'!G31/'Data Sheet'!G30, 0)</f>
        <v>0</v>
      </c>
      <c r="H18" s="5">
        <f>IF('Data Sheet'!H30&gt;0, 'Data Sheet'!H31/'Data Sheet'!H30, 0)</f>
        <v>2.1741886454630509E-2</v>
      </c>
      <c r="I18" s="5">
        <f>IF('Data Sheet'!I30&gt;0, 'Data Sheet'!I31/'Data Sheet'!I30, 0)</f>
        <v>2.8440303370630728E-2</v>
      </c>
      <c r="J18" s="5">
        <f>IF('Data Sheet'!J30&gt;0, 'Data Sheet'!J31/'Data Sheet'!J30, 0)</f>
        <v>1.1697781416043235E-2</v>
      </c>
      <c r="K18" s="5">
        <f>IF('Data Sheet'!K30&gt;0, 'Data Sheet'!K31/'Data Sheet'!K30, 0)</f>
        <v>1.1040412958637481E-2</v>
      </c>
    </row>
    <row r="19" spans="1:14">
      <c r="A19" t="s">
        <v>18</v>
      </c>
      <c r="B19" s="5">
        <f t="shared" ref="B19:L19" si="4">IF(B6&gt;0,B6/B4,0)</f>
        <v>0.66508328453183763</v>
      </c>
      <c r="C19" s="5">
        <f t="shared" ref="C19:K19" si="5">IF(C6&gt;0,C6/C4,0)</f>
        <v>0.46149836115434406</v>
      </c>
      <c r="D19" s="5">
        <f t="shared" si="5"/>
        <v>0.36249856802861624</v>
      </c>
      <c r="E19" s="5">
        <f t="shared" si="5"/>
        <v>0.50003773844137567</v>
      </c>
      <c r="F19" s="5">
        <f t="shared" si="5"/>
        <v>0.43537273713472097</v>
      </c>
      <c r="G19" s="5">
        <f t="shared" si="5"/>
        <v>0.4934421224721014</v>
      </c>
      <c r="H19" s="5">
        <f t="shared" si="5"/>
        <v>0.54657565008077447</v>
      </c>
      <c r="I19" s="5">
        <f t="shared" si="5"/>
        <v>0.64960673366467547</v>
      </c>
      <c r="J19" s="5">
        <f t="shared" si="5"/>
        <v>0.6449451285728286</v>
      </c>
      <c r="K19" s="5">
        <f t="shared" si="5"/>
        <v>0.63575865389892083</v>
      </c>
      <c r="L19" s="5">
        <f t="shared" si="4"/>
        <v>0.59666363947193757</v>
      </c>
    </row>
    <row r="20" spans="1:14">
      <c r="B20" s="5"/>
      <c r="C20" s="5"/>
      <c r="D20" s="5"/>
      <c r="E20" s="5"/>
      <c r="F20" s="5"/>
      <c r="G20" s="5"/>
      <c r="H20" s="5"/>
      <c r="I20" s="5"/>
      <c r="J20" s="5"/>
      <c r="K20" s="5"/>
      <c r="L20" s="5"/>
    </row>
    <row r="21" spans="1:14">
      <c r="B21" s="5"/>
      <c r="C21" s="5"/>
      <c r="D21" s="5"/>
      <c r="E21" s="5"/>
      <c r="F21" s="5"/>
      <c r="G21" s="5"/>
      <c r="H21" s="5"/>
      <c r="I21" s="5"/>
      <c r="J21" s="5"/>
      <c r="K21" s="5"/>
      <c r="L21" s="5"/>
    </row>
    <row r="22" spans="1:14" s="2" customFormat="1">
      <c r="A22" s="11"/>
      <c r="B22" s="12"/>
      <c r="C22" s="12"/>
      <c r="D22" s="12"/>
      <c r="E22" s="12"/>
      <c r="F22" s="12"/>
      <c r="G22" s="12" t="s">
        <v>19</v>
      </c>
      <c r="H22" s="12" t="s">
        <v>56</v>
      </c>
      <c r="I22" s="12" t="s">
        <v>57</v>
      </c>
      <c r="J22" s="12" t="s">
        <v>58</v>
      </c>
      <c r="K22" s="12" t="s">
        <v>59</v>
      </c>
      <c r="L22" s="13" t="s">
        <v>60</v>
      </c>
      <c r="M22" s="13" t="s">
        <v>20</v>
      </c>
      <c r="N22" s="13" t="s">
        <v>21</v>
      </c>
    </row>
    <row r="23" spans="1:14" s="2" customFormat="1">
      <c r="A23"/>
      <c r="B23"/>
      <c r="C23"/>
      <c r="D23"/>
      <c r="E23"/>
      <c r="F23"/>
      <c r="G23" t="s">
        <v>22</v>
      </c>
      <c r="H23" s="5">
        <f>IF(B4=0,"",POWER($K4/B4,1/9)-1)</f>
        <v>0.13297522823534336</v>
      </c>
      <c r="I23" s="5">
        <f>IF(D4=0,"",POWER($K4/D4,1/7)-1)</f>
        <v>0.15442655736870115</v>
      </c>
      <c r="J23" s="5">
        <f>IF(F4=0,"",POWER($K4/F4,1/5)-1)</f>
        <v>0.14859508719207959</v>
      </c>
      <c r="K23" s="5">
        <f>IF(H4=0,"",POWER($K4/H4, 1/3)-1)</f>
        <v>0.22762955207753643</v>
      </c>
      <c r="L23" s="5">
        <f>IF(ISERROR(MAX(IF(J4=0,"",(K4-J4)/J4),IF(K4=0,"",(L4-K4)/K4))),"",MAX(IF(J4=0,"",(K4-J4)/J4),IF(K4=0,"",(L4-K4)/K4)))</f>
        <v>0.12961301110642554</v>
      </c>
      <c r="M23" s="16">
        <f>MAX(K23:L23)</f>
        <v>0.22762955207753643</v>
      </c>
      <c r="N23" s="16">
        <f>MIN(H23:L23)</f>
        <v>0.12961301110642554</v>
      </c>
    </row>
    <row r="24" spans="1:14">
      <c r="G24" t="s">
        <v>18</v>
      </c>
      <c r="H24" s="5">
        <f>IF(SUM(B4:$K$4)=0,"",SUMPRODUCT(B19:$K$19,B4:$K$4)/SUM(B4:$K$4))</f>
        <v>0.56174795560318047</v>
      </c>
      <c r="I24" s="5">
        <f>IF(SUM(E4:$K$4)=0,"",SUMPRODUCT(E19:$K$19,E4:$K$4)/SUM(E4:$K$4))</f>
        <v>0.57817549170210025</v>
      </c>
      <c r="J24" s="5">
        <f>IF(SUM(G4:$K$4)=0,"",SUMPRODUCT(G19:$K$19,G4:$K$4)/SUM(G4:$K$4))</f>
        <v>0.60742282324005359</v>
      </c>
      <c r="K24" s="5">
        <f>IF(SUM(I4:$K$4)=0, "", SUMPRODUCT(I19:$K$19,I4:$K$4)/SUM(I4:$K$4))</f>
        <v>0.6426175579934289</v>
      </c>
      <c r="L24" s="5">
        <f>L19</f>
        <v>0.59666363947193757</v>
      </c>
      <c r="M24" s="16">
        <f>MAX(K24:L24)</f>
        <v>0.6426175579934289</v>
      </c>
      <c r="N24" s="16">
        <f>MIN(H24:L24)</f>
        <v>0.56174795560318047</v>
      </c>
    </row>
    <row r="25" spans="1:14">
      <c r="G25" t="s">
        <v>23</v>
      </c>
      <c r="H25" s="6">
        <f>IF(ISERROR(AVERAGEIF(B14:$L14,"&gt;0")),"",AVERAGEIF(B14:$L14,"&gt;0"))</f>
        <v>48.821417076683268</v>
      </c>
      <c r="I25" s="6">
        <f>IF(ISERROR(AVERAGEIF(E14:$L14,"&gt;0")),"",AVERAGEIF(E14:$L14,"&gt;0"))</f>
        <v>25.898390714254578</v>
      </c>
      <c r="J25" s="6">
        <f>IF(ISERROR(AVERAGEIF(G14:$L14,"&gt;0")),"",AVERAGEIF(G14:$L14,"&gt;0"))</f>
        <v>18.301344593448729</v>
      </c>
      <c r="K25" s="6">
        <f>IF(ISERROR(AVERAGEIF(I14:$L14,"&gt;0")),"",AVERAGEIF(I14:$L14,"&gt;0"))</f>
        <v>15.890935893500581</v>
      </c>
      <c r="L25" s="6">
        <f>L14</f>
        <v>14.730497799260378</v>
      </c>
      <c r="M25" s="1">
        <f>MAX(K25:L25)</f>
        <v>15.890935893500581</v>
      </c>
      <c r="N25" s="1">
        <f>MIN(H25:L25)</f>
        <v>14.730497799260378</v>
      </c>
    </row>
    <row r="27" spans="1:14">
      <c r="A27" t="s">
        <v>87</v>
      </c>
      <c r="C27" s="30">
        <f>C4/B4-1</f>
        <v>9.0941999673985752E-2</v>
      </c>
      <c r="D27" s="30">
        <f t="shared" ref="D27:K27" si="6">D4/C4-1</f>
        <v>3.1853173950511238E-2</v>
      </c>
      <c r="E27" s="30">
        <f t="shared" si="6"/>
        <v>0.20229068225338032</v>
      </c>
      <c r="F27" s="30">
        <f t="shared" si="6"/>
        <v>0.13689383186141524</v>
      </c>
      <c r="G27" s="30">
        <f t="shared" si="6"/>
        <v>1.0698779327160901E-2</v>
      </c>
      <c r="H27" s="30">
        <f t="shared" si="6"/>
        <v>6.9082024480506599E-2</v>
      </c>
      <c r="I27" s="30">
        <f t="shared" si="6"/>
        <v>0.27020151915737811</v>
      </c>
      <c r="J27" s="30">
        <f t="shared" si="6"/>
        <v>0.28943569788665036</v>
      </c>
      <c r="K27" s="30">
        <f t="shared" si="6"/>
        <v>0.12961301110642554</v>
      </c>
    </row>
    <row r="28" spans="1:14">
      <c r="A28" t="s">
        <v>88</v>
      </c>
      <c r="B28" s="26">
        <f>'Data Sheet'!B17-'Data Sheet'!B18-'Data Sheet'!B19-'Data Sheet'!B20-'Data Sheet'!B21</f>
        <v>40673.120000000003</v>
      </c>
      <c r="C28" s="26">
        <f>'Data Sheet'!C17-'Data Sheet'!C18-'Data Sheet'!C19-'Data Sheet'!C20-'Data Sheet'!C21</f>
        <v>44294.559999999998</v>
      </c>
      <c r="D28" s="26">
        <f>'Data Sheet'!D17-'Data Sheet'!D18-'Data Sheet'!D19-'Data Sheet'!D20-'Data Sheet'!D21</f>
        <v>45736</v>
      </c>
      <c r="E28" s="26">
        <f>'Data Sheet'!E17-'Data Sheet'!E18-'Data Sheet'!E19-'Data Sheet'!E20-'Data Sheet'!E21</f>
        <v>54950.43</v>
      </c>
      <c r="F28" s="26">
        <f>'Data Sheet'!F17-'Data Sheet'!F18-'Data Sheet'!F19-'Data Sheet'!F20-'Data Sheet'!F21</f>
        <v>62529.64</v>
      </c>
      <c r="G28" s="26">
        <f>'Data Sheet'!G17-'Data Sheet'!G18-'Data Sheet'!G19-'Data Sheet'!G20-'Data Sheet'!G21</f>
        <v>63151.68</v>
      </c>
      <c r="H28" s="26">
        <f>'Data Sheet'!H17-'Data Sheet'!H18-'Data Sheet'!H19-'Data Sheet'!H20-'Data Sheet'!H21</f>
        <v>67396.14</v>
      </c>
      <c r="I28" s="26">
        <f>'Data Sheet'!I17-'Data Sheet'!I18-'Data Sheet'!I19-'Data Sheet'!I20-'Data Sheet'!I21</f>
        <v>85852.95</v>
      </c>
      <c r="J28" s="26">
        <f>'Data Sheet'!J17-'Data Sheet'!J18-'Data Sheet'!J19-'Data Sheet'!J20-'Data Sheet'!J21</f>
        <v>110819.82</v>
      </c>
      <c r="K28" s="26">
        <f>'Data Sheet'!K17-'Data Sheet'!K18-'Data Sheet'!K19-'Data Sheet'!K20-'Data Sheet'!K21</f>
        <v>125044.4</v>
      </c>
    </row>
    <row r="29" spans="1:14">
      <c r="A29" t="s">
        <v>89</v>
      </c>
      <c r="B29" s="30">
        <f>B28/B4</f>
        <v>0.98222305402778376</v>
      </c>
      <c r="C29" s="30">
        <f t="shared" ref="C29:K29" si="7">C28/C4</f>
        <v>0.98050850590447081</v>
      </c>
      <c r="D29" s="30">
        <f t="shared" si="7"/>
        <v>0.98116319410924524</v>
      </c>
      <c r="E29" s="30">
        <f t="shared" si="7"/>
        <v>0.98049341896896436</v>
      </c>
      <c r="F29" s="30">
        <f t="shared" si="7"/>
        <v>0.98138542977176102</v>
      </c>
      <c r="G29" s="30">
        <f t="shared" si="7"/>
        <v>0.98065634988763517</v>
      </c>
      <c r="H29" s="30">
        <f t="shared" si="7"/>
        <v>0.97893968078928562</v>
      </c>
      <c r="I29" s="30">
        <f t="shared" si="7"/>
        <v>0.98175586348836463</v>
      </c>
      <c r="J29" s="30">
        <f t="shared" si="7"/>
        <v>0.98280200125843564</v>
      </c>
      <c r="K29" s="30">
        <f t="shared" si="7"/>
        <v>0.98170985951695511</v>
      </c>
    </row>
    <row r="30" spans="1:14">
      <c r="A30" t="s">
        <v>90</v>
      </c>
      <c r="B30" s="30">
        <f>B6/B4</f>
        <v>0.66508328453183763</v>
      </c>
      <c r="C30" s="30">
        <f t="shared" ref="C30:K30" si="8">C6/C4</f>
        <v>0.46149836115434406</v>
      </c>
      <c r="D30" s="30">
        <f t="shared" si="8"/>
        <v>0.36249856802861624</v>
      </c>
      <c r="E30" s="30">
        <f t="shared" si="8"/>
        <v>0.50003773844137567</v>
      </c>
      <c r="F30" s="30">
        <f t="shared" si="8"/>
        <v>0.43537273713472097</v>
      </c>
      <c r="G30" s="30">
        <f t="shared" si="8"/>
        <v>0.4934421224721014</v>
      </c>
      <c r="H30" s="30">
        <f t="shared" si="8"/>
        <v>0.54657565008077447</v>
      </c>
      <c r="I30" s="30">
        <f t="shared" si="8"/>
        <v>0.64960673366467547</v>
      </c>
      <c r="J30" s="30">
        <f t="shared" si="8"/>
        <v>0.6449451285728286</v>
      </c>
      <c r="K30" s="30">
        <f t="shared" si="8"/>
        <v>0.63575865389892083</v>
      </c>
    </row>
    <row r="31" spans="1:14">
      <c r="A31" t="s">
        <v>91</v>
      </c>
      <c r="B31" s="30">
        <f>(B6-B8)/B4</f>
        <v>0.65394108804192297</v>
      </c>
      <c r="C31" s="30">
        <f t="shared" ref="C31:J31" si="9">(C6-C8)/C4</f>
        <v>0.44983994497852686</v>
      </c>
      <c r="D31" s="30">
        <f t="shared" si="9"/>
        <v>0.34982900009138873</v>
      </c>
      <c r="E31" s="30">
        <f t="shared" si="9"/>
        <v>0.48688424112276774</v>
      </c>
      <c r="F31" s="30">
        <f t="shared" si="9"/>
        <v>0.42272169111276847</v>
      </c>
      <c r="G31" s="30">
        <f t="shared" si="9"/>
        <v>0.47828886153096961</v>
      </c>
      <c r="H31" s="30">
        <f t="shared" si="9"/>
        <v>0.53138828859632647</v>
      </c>
      <c r="I31" s="30">
        <f t="shared" si="9"/>
        <v>0.49928203350159639</v>
      </c>
      <c r="J31" s="30">
        <f t="shared" si="9"/>
        <v>0.63266256677401955</v>
      </c>
      <c r="K31" s="30">
        <f>(K6-K8)/K4</f>
        <v>0.62191376597862247</v>
      </c>
    </row>
    <row r="32" spans="1:14">
      <c r="A32" t="s">
        <v>92</v>
      </c>
      <c r="B32" s="30">
        <f>B12/B4</f>
        <v>0.20163779831800865</v>
      </c>
      <c r="C32" s="30">
        <f t="shared" ref="C32:K32" si="10">C12/C4</f>
        <v>8.7504640278525184E-2</v>
      </c>
      <c r="D32" s="30">
        <f t="shared" si="10"/>
        <v>9.7785946986810417E-3</v>
      </c>
      <c r="E32" s="30">
        <f t="shared" si="10"/>
        <v>8.9904743891591643E-2</v>
      </c>
      <c r="F32" s="30">
        <f t="shared" si="10"/>
        <v>2.9084049640528045E-2</v>
      </c>
      <c r="G32" s="30">
        <f t="shared" si="10"/>
        <v>0.11173594693943975</v>
      </c>
      <c r="H32" s="30">
        <f t="shared" si="10"/>
        <v>0.20508493877500036</v>
      </c>
      <c r="I32" s="30">
        <f t="shared" si="10"/>
        <v>0.12371242597203357</v>
      </c>
      <c r="J32" s="30">
        <f t="shared" si="10"/>
        <v>0.23400516410877886</v>
      </c>
      <c r="K32" s="30">
        <f t="shared" si="10"/>
        <v>0.22025758927894992</v>
      </c>
    </row>
    <row r="33" spans="1:11">
      <c r="A33" t="s">
        <v>95</v>
      </c>
      <c r="C33" s="29">
        <f>C13/B13-1</f>
        <v>-0.52897617753162951</v>
      </c>
      <c r="D33" s="29">
        <f t="shared" ref="D33:K33" si="11">D13/C13-1</f>
        <v>-0.89239622302289667</v>
      </c>
      <c r="E33" s="29">
        <f t="shared" si="11"/>
        <v>10.03198074386634</v>
      </c>
      <c r="F33" s="29">
        <f t="shared" si="11"/>
        <v>-0.66481485869730461</v>
      </c>
      <c r="G33" s="29">
        <f t="shared" si="11"/>
        <v>2.5762212501000601</v>
      </c>
      <c r="H33" s="29">
        <f t="shared" si="11"/>
        <v>0.95840352992878408</v>
      </c>
      <c r="I33" s="29">
        <f t="shared" si="11"/>
        <v>-0.23557525646581512</v>
      </c>
      <c r="J33" s="29">
        <f t="shared" si="11"/>
        <v>1.4313351998916359</v>
      </c>
      <c r="K33" s="29">
        <f t="shared" si="11"/>
        <v>5.9542017120968405E-2</v>
      </c>
    </row>
    <row r="34" spans="1:11">
      <c r="A34" t="s">
        <v>96</v>
      </c>
      <c r="B34" s="26">
        <f>B13*B18</f>
        <v>5.0000839348665433</v>
      </c>
      <c r="C34" s="26">
        <f t="shared" ref="C34:K34" si="12">C13*C18</f>
        <v>5.000083507306889</v>
      </c>
      <c r="D34" s="27">
        <f t="shared" si="12"/>
        <v>0</v>
      </c>
      <c r="E34" s="26">
        <f t="shared" si="12"/>
        <v>1</v>
      </c>
      <c r="F34" s="32">
        <f t="shared" si="12"/>
        <v>0</v>
      </c>
      <c r="G34" s="32">
        <f t="shared" si="12"/>
        <v>0</v>
      </c>
      <c r="H34" s="26">
        <f t="shared" si="12"/>
        <v>1.0000325764732709</v>
      </c>
      <c r="I34" s="26">
        <f t="shared" si="12"/>
        <v>0.99996749975624832</v>
      </c>
      <c r="J34" s="26">
        <f t="shared" si="12"/>
        <v>1</v>
      </c>
      <c r="K34" s="26">
        <f t="shared" si="12"/>
        <v>0.99999999999999989</v>
      </c>
    </row>
    <row r="35" spans="1:11">
      <c r="A35" t="s">
        <v>97</v>
      </c>
      <c r="C35" s="31">
        <f>B34/C34-1</f>
        <v>8.5510502678687317E-8</v>
      </c>
      <c r="D35" s="31" t="e">
        <f t="shared" ref="D35:K35" si="13">C34/D34-1</f>
        <v>#DIV/0!</v>
      </c>
      <c r="E35" s="31">
        <f t="shared" si="13"/>
        <v>-1</v>
      </c>
      <c r="F35" s="31" t="e">
        <f t="shared" si="13"/>
        <v>#DIV/0!</v>
      </c>
      <c r="G35" s="31" t="e">
        <f t="shared" si="13"/>
        <v>#DIV/0!</v>
      </c>
      <c r="H35" s="31">
        <f t="shared" si="13"/>
        <v>-1</v>
      </c>
      <c r="I35" s="31">
        <f t="shared" si="13"/>
        <v>6.5078832100606832E-5</v>
      </c>
      <c r="J35" s="31">
        <f t="shared" si="13"/>
        <v>-3.2500243751676372E-5</v>
      </c>
      <c r="K35" s="31">
        <f t="shared" si="13"/>
        <v>0</v>
      </c>
    </row>
    <row r="37" spans="1:11">
      <c r="A37" t="s">
        <v>106</v>
      </c>
      <c r="B37" s="42">
        <f>'Data Sheet'!B93*'Data Sheet'!B90</f>
        <v>105832.06199999999</v>
      </c>
      <c r="C37" s="42">
        <f>'Data Sheet'!C93*'Data Sheet'!C90</f>
        <v>117546.6</v>
      </c>
      <c r="D37" s="42">
        <f>'Data Sheet'!D93*'Data Sheet'!D90</f>
        <v>131019.82499999998</v>
      </c>
      <c r="E37" s="42">
        <f>'Data Sheet'!E93*'Data Sheet'!E90</f>
        <v>199877.61000000002</v>
      </c>
      <c r="F37" s="42">
        <f>'Data Sheet'!F93*'Data Sheet'!F90</f>
        <v>106942.43000000001</v>
      </c>
      <c r="G37" s="42">
        <f>'Data Sheet'!G93*'Data Sheet'!G90</f>
        <v>213677.75650000002</v>
      </c>
      <c r="H37" s="42">
        <f>'Data Sheet'!H93*'Data Sheet'!H90</f>
        <v>233650.21550000002</v>
      </c>
      <c r="I37" s="42">
        <f>'Data Sheet'!I93*'Data Sheet'!I90</f>
        <v>264151.86499999999</v>
      </c>
      <c r="J37" s="42">
        <f>'Data Sheet'!J93*'Data Sheet'!J90</f>
        <v>323228.75200000004</v>
      </c>
      <c r="K37" s="42">
        <f>'Data Sheet'!K93*'Data Sheet'!K90</f>
        <v>341333.48</v>
      </c>
    </row>
    <row r="38" spans="1:11">
      <c r="A38" t="s">
        <v>107</v>
      </c>
      <c r="B38" s="26">
        <f>'Balance Sheet'!E6</f>
        <v>711995.77</v>
      </c>
      <c r="C38" s="26">
        <f>'Balance Sheet'!F6</f>
        <v>797337.38</v>
      </c>
      <c r="D38" s="26">
        <f>'Balance Sheet'!G6</f>
        <v>850551.35</v>
      </c>
      <c r="E38" s="26">
        <f>'Balance Sheet'!H6</f>
        <v>1020942.96</v>
      </c>
      <c r="F38" s="26">
        <f>'Balance Sheet'!I6</f>
        <v>1152038.29</v>
      </c>
      <c r="G38" s="26">
        <f>'Balance Sheet'!J6</f>
        <v>1295301.95</v>
      </c>
      <c r="H38" s="26">
        <f>'Balance Sheet'!K6</f>
        <v>1391607.64</v>
      </c>
      <c r="I38" s="26">
        <f>'Balance Sheet'!L6</f>
        <v>0</v>
      </c>
      <c r="J38" s="26">
        <f>'Balance Sheet'!M6</f>
        <v>0</v>
      </c>
      <c r="K38" s="26">
        <f>'Balance Sheet'!N6</f>
        <v>0</v>
      </c>
    </row>
    <row r="39" spans="1:11">
      <c r="A39" t="s">
        <v>108</v>
      </c>
      <c r="B39">
        <f>'Data Sheet'!B69</f>
        <v>18240.669999999998</v>
      </c>
      <c r="C39">
        <f>'Data Sheet'!C69</f>
        <v>24500.02</v>
      </c>
      <c r="D39">
        <f>'Data Sheet'!D69</f>
        <v>30223.02</v>
      </c>
      <c r="E39">
        <f>'Data Sheet'!E69</f>
        <v>30885.82</v>
      </c>
      <c r="F39">
        <f>'Data Sheet'!F69</f>
        <v>76971.34</v>
      </c>
      <c r="G39">
        <f>'Data Sheet'!G69</f>
        <v>39135.410000000003</v>
      </c>
      <c r="H39">
        <f>'Data Sheet'!H69</f>
        <v>84194.41</v>
      </c>
      <c r="I39">
        <f>'Data Sheet'!I69</f>
        <v>56451.88</v>
      </c>
      <c r="J39">
        <f>'Data Sheet'!J69</f>
        <v>76442.679999999993</v>
      </c>
      <c r="K39">
        <f>'Data Sheet'!K69</f>
        <v>65564.5</v>
      </c>
    </row>
    <row r="40" spans="1:11">
      <c r="A40" t="s">
        <v>109</v>
      </c>
      <c r="B40" s="42">
        <f>B37+B38-B39</f>
        <v>799587.16200000001</v>
      </c>
      <c r="C40" s="42">
        <f t="shared" ref="C40:K40" si="14">C37+C38-C39</f>
        <v>890383.96</v>
      </c>
      <c r="D40" s="42">
        <f t="shared" si="14"/>
        <v>951348.15499999991</v>
      </c>
      <c r="E40" s="42">
        <f t="shared" si="14"/>
        <v>1189934.75</v>
      </c>
      <c r="F40" s="42">
        <f t="shared" si="14"/>
        <v>1182009.3799999999</v>
      </c>
      <c r="G40" s="42">
        <f t="shared" si="14"/>
        <v>1469844.2964999999</v>
      </c>
      <c r="H40" s="42">
        <f t="shared" si="14"/>
        <v>1541063.4454999999</v>
      </c>
      <c r="I40" s="42">
        <f t="shared" si="14"/>
        <v>207699.98499999999</v>
      </c>
      <c r="J40" s="42">
        <f t="shared" si="14"/>
        <v>246786.07200000004</v>
      </c>
      <c r="K40" s="42">
        <f t="shared" si="14"/>
        <v>275768.98</v>
      </c>
    </row>
    <row r="42" spans="1:11">
      <c r="A42" t="s">
        <v>110</v>
      </c>
      <c r="B42" s="39">
        <f>B40/B6</f>
        <v>29.033033485109257</v>
      </c>
      <c r="C42" s="39">
        <f t="shared" ref="C42:K42" si="15">C40/C6</f>
        <v>42.707892228740768</v>
      </c>
      <c r="D42" s="39">
        <f t="shared" si="15"/>
        <v>56.301018847133278</v>
      </c>
      <c r="E42" s="39">
        <f t="shared" si="15"/>
        <v>42.461365175631975</v>
      </c>
      <c r="F42" s="39">
        <f t="shared" si="15"/>
        <v>42.610180147346419</v>
      </c>
      <c r="G42" s="39">
        <f t="shared" si="15"/>
        <v>46.255890666555047</v>
      </c>
      <c r="H42" s="39">
        <f t="shared" si="15"/>
        <v>40.953511718706395</v>
      </c>
      <c r="I42" s="39">
        <f t="shared" si="15"/>
        <v>3.6562360657700057</v>
      </c>
      <c r="J42" s="39">
        <f t="shared" si="15"/>
        <v>3.3934891932995432</v>
      </c>
      <c r="K42" s="39">
        <f t="shared" si="15"/>
        <v>3.4054306304410593</v>
      </c>
    </row>
    <row r="43" spans="1:11">
      <c r="A43" t="s">
        <v>111</v>
      </c>
      <c r="B43" s="39">
        <f>B40/B4</f>
        <v>19.309385270199293</v>
      </c>
      <c r="C43" s="39">
        <f t="shared" ref="C43:K43" si="16">C40/C4</f>
        <v>19.70962227192021</v>
      </c>
      <c r="D43" s="39">
        <f t="shared" si="16"/>
        <v>20.409038710637947</v>
      </c>
      <c r="E43" s="39">
        <f t="shared" si="16"/>
        <v>21.232285013556396</v>
      </c>
      <c r="F43" s="39">
        <f t="shared" si="16"/>
        <v>18.551310760553758</v>
      </c>
      <c r="G43" s="39">
        <f t="shared" si="16"/>
        <v>22.824604867342387</v>
      </c>
      <c r="H43" s="39">
        <f t="shared" si="16"/>
        <v>22.384192290742565</v>
      </c>
      <c r="I43" s="39">
        <f t="shared" si="16"/>
        <v>2.3751155681918372</v>
      </c>
      <c r="J43" s="39">
        <f t="shared" si="16"/>
        <v>2.1886143240830784</v>
      </c>
      <c r="K43" s="39">
        <f t="shared" si="16"/>
        <v>2.165031993555361</v>
      </c>
    </row>
    <row r="44" spans="1:11">
      <c r="A44" t="s">
        <v>113</v>
      </c>
      <c r="B44" s="41">
        <f>B37/'Balance Sheet'!B26</f>
        <v>1.9759991082691233</v>
      </c>
      <c r="C44" s="41">
        <f>C37/'Balance Sheet'!C26</f>
        <v>2.0848859576075709</v>
      </c>
      <c r="D44" s="41">
        <f>D37/'Balance Sheet'!D26</f>
        <v>2.0405717190585944</v>
      </c>
      <c r="E44" s="41">
        <f>E37/'Balance Sheet'!E26</f>
        <v>2.9479334279412805</v>
      </c>
      <c r="F44" s="41">
        <f>F37/'Balance Sheet'!F26</f>
        <v>1.2386135904118154</v>
      </c>
      <c r="G44" s="41">
        <f>G37/'Balance Sheet'!G26</f>
        <v>2.0626520386857505</v>
      </c>
      <c r="H44" s="41">
        <f>H37/'Balance Sheet'!H26</f>
        <v>1.9757222351033725</v>
      </c>
      <c r="I44" s="41">
        <f>I37/'Balance Sheet'!I26</f>
        <v>2.0353550974170398</v>
      </c>
      <c r="J44" s="41">
        <f>J37/'Balance Sheet'!J26</f>
        <v>2.0584734821891653</v>
      </c>
      <c r="K44" s="41">
        <f>K37/'Balance Sheet'!K26</f>
        <v>1.8230169931993128</v>
      </c>
    </row>
    <row r="46" spans="1:11">
      <c r="A46" t="s">
        <v>191</v>
      </c>
      <c r="E46" s="30">
        <f>IFERROR(IF(E13&gt;E34,1-E18,0),0)</f>
        <v>0.94896191196346602</v>
      </c>
      <c r="F46" s="30">
        <f t="shared" ref="F46:K46" si="17">IFERROR(IF(F13&gt;F34,1-F18,0),0)</f>
        <v>1</v>
      </c>
      <c r="G46" s="30">
        <f t="shared" si="17"/>
        <v>1</v>
      </c>
      <c r="H46" s="30">
        <f t="shared" si="17"/>
        <v>0.97825811354536951</v>
      </c>
      <c r="I46" s="30">
        <f t="shared" si="17"/>
        <v>0.97155969662936925</v>
      </c>
      <c r="J46" s="30">
        <f t="shared" si="17"/>
        <v>0.98830221858395673</v>
      </c>
      <c r="K46" s="30">
        <f t="shared" si="17"/>
        <v>0.98895958704136255</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cols>
    <col min="1" max="1" width="20.6640625" customWidth="1"/>
    <col min="2" max="11" width="13.44140625" bestFit="1" customWidth="1"/>
  </cols>
  <sheetData>
    <row r="1" spans="1:11" s="2" customFormat="1">
      <c r="A1" s="2" t="str">
        <f>'Profit &amp; Loss'!A1</f>
        <v>AXIS BANK LTD</v>
      </c>
      <c r="E1" t="str">
        <f>UPDATE</f>
        <v/>
      </c>
      <c r="J1" s="2" t="s">
        <v>1</v>
      </c>
    </row>
    <row r="3" spans="1:11" s="2" customFormat="1">
      <c r="A3" s="11" t="s">
        <v>2</v>
      </c>
      <c r="B3" s="12">
        <f>'Data Sheet'!B41</f>
        <v>45107</v>
      </c>
      <c r="C3" s="12">
        <f>'Data Sheet'!C41</f>
        <v>45199</v>
      </c>
      <c r="D3" s="12">
        <f>'Data Sheet'!D41</f>
        <v>45291</v>
      </c>
      <c r="E3" s="12">
        <f>'Data Sheet'!E41</f>
        <v>45382</v>
      </c>
      <c r="F3" s="12">
        <f>'Data Sheet'!F41</f>
        <v>45473</v>
      </c>
      <c r="G3" s="12">
        <f>'Data Sheet'!G41</f>
        <v>45565</v>
      </c>
      <c r="H3" s="12">
        <f>'Data Sheet'!H41</f>
        <v>45657</v>
      </c>
      <c r="I3" s="12">
        <f>'Data Sheet'!I41</f>
        <v>45747</v>
      </c>
      <c r="J3" s="12">
        <f>'Data Sheet'!J41</f>
        <v>45838</v>
      </c>
      <c r="K3" s="12">
        <f>'Data Sheet'!K41</f>
        <v>45930</v>
      </c>
    </row>
    <row r="4" spans="1:11" s="2" customFormat="1">
      <c r="A4" s="2" t="s">
        <v>6</v>
      </c>
      <c r="B4" s="1">
        <f>'Data Sheet'!B42</f>
        <v>26245.74</v>
      </c>
      <c r="C4" s="1">
        <f>'Data Sheet'!C42</f>
        <v>27417.53</v>
      </c>
      <c r="D4" s="1">
        <f>'Data Sheet'!D42</f>
        <v>28865.200000000001</v>
      </c>
      <c r="E4" s="1">
        <f>'Data Sheet'!E42</f>
        <v>30230.58</v>
      </c>
      <c r="F4" s="1">
        <f>'Data Sheet'!F42</f>
        <v>31158.52</v>
      </c>
      <c r="G4" s="1">
        <f>'Data Sheet'!G42</f>
        <v>31601.05</v>
      </c>
      <c r="H4" s="1">
        <f>'Data Sheet'!H42</f>
        <v>32162.2</v>
      </c>
      <c r="I4" s="1">
        <f>'Data Sheet'!I42</f>
        <v>32452.32</v>
      </c>
      <c r="J4" s="1">
        <f>'Data Sheet'!J42</f>
        <v>32348.31</v>
      </c>
      <c r="K4" s="1">
        <f>'Data Sheet'!K42</f>
        <v>32309.77</v>
      </c>
    </row>
    <row r="5" spans="1:11">
      <c r="A5" t="s">
        <v>7</v>
      </c>
      <c r="B5" s="6">
        <f>'Data Sheet'!B43</f>
        <v>9730.68</v>
      </c>
      <c r="C5" s="6">
        <f>'Data Sheet'!C43</f>
        <v>10059.450000000001</v>
      </c>
      <c r="D5" s="6">
        <f>'Data Sheet'!D43</f>
        <v>10506.5</v>
      </c>
      <c r="E5" s="6">
        <f>'Data Sheet'!E43</f>
        <v>11123.99</v>
      </c>
      <c r="F5" s="6">
        <f>'Data Sheet'!F43</f>
        <v>11891.54</v>
      </c>
      <c r="G5" s="6">
        <f>'Data Sheet'!G43</f>
        <v>12411.56</v>
      </c>
      <c r="H5" s="6">
        <f>'Data Sheet'!H43</f>
        <v>11912.73</v>
      </c>
      <c r="I5" s="6">
        <f>'Data Sheet'!I43</f>
        <v>11942.56</v>
      </c>
      <c r="J5" s="6">
        <f>'Data Sheet'!J43</f>
        <v>13982.61</v>
      </c>
      <c r="K5" s="6">
        <f>'Data Sheet'!K43</f>
        <v>14302.44</v>
      </c>
    </row>
    <row r="6" spans="1:11" s="2" customFormat="1">
      <c r="A6" s="2" t="s">
        <v>8</v>
      </c>
      <c r="B6" s="1">
        <f>'Data Sheet'!B50</f>
        <v>16515.060000000001</v>
      </c>
      <c r="C6" s="1">
        <f>'Data Sheet'!C50</f>
        <v>17358.080000000002</v>
      </c>
      <c r="D6" s="1">
        <f>'Data Sheet'!D50</f>
        <v>18358.7</v>
      </c>
      <c r="E6" s="1">
        <f>'Data Sheet'!E50</f>
        <v>19106.59</v>
      </c>
      <c r="F6" s="1">
        <f>'Data Sheet'!F50</f>
        <v>19266.98</v>
      </c>
      <c r="G6" s="1">
        <f>'Data Sheet'!G50</f>
        <v>19189.490000000002</v>
      </c>
      <c r="H6" s="1">
        <f>'Data Sheet'!H50</f>
        <v>20249.47</v>
      </c>
      <c r="I6" s="1">
        <f>'Data Sheet'!I50</f>
        <v>20509.759999999998</v>
      </c>
      <c r="J6" s="1">
        <f>'Data Sheet'!J50</f>
        <v>18365.7</v>
      </c>
      <c r="K6" s="1">
        <f>'Data Sheet'!K50</f>
        <v>18007.330000000002</v>
      </c>
    </row>
    <row r="7" spans="1:11">
      <c r="A7" t="s">
        <v>9</v>
      </c>
      <c r="B7" s="6">
        <f>'Data Sheet'!B44</f>
        <v>5648.46</v>
      </c>
      <c r="C7" s="6">
        <f>'Data Sheet'!C44</f>
        <v>5704.7</v>
      </c>
      <c r="D7" s="6">
        <f>'Data Sheet'!D44</f>
        <v>6271.63</v>
      </c>
      <c r="E7" s="6">
        <f>'Data Sheet'!E44</f>
        <v>7605.52</v>
      </c>
      <c r="F7" s="6">
        <f>'Data Sheet'!F44</f>
        <v>6637.36</v>
      </c>
      <c r="G7" s="6">
        <f>'Data Sheet'!G44</f>
        <v>7602.72</v>
      </c>
      <c r="H7" s="6">
        <f>'Data Sheet'!H44</f>
        <v>6796.97</v>
      </c>
      <c r="I7" s="6">
        <f>'Data Sheet'!I44</f>
        <v>7505.72</v>
      </c>
      <c r="J7" s="6">
        <f>'Data Sheet'!J44</f>
        <v>8052.69</v>
      </c>
      <c r="K7" s="6">
        <f>'Data Sheet'!K44</f>
        <v>7460.08</v>
      </c>
    </row>
    <row r="8" spans="1:11">
      <c r="A8" t="s">
        <v>10</v>
      </c>
      <c r="B8" s="6">
        <f>'Data Sheet'!B45</f>
        <v>0</v>
      </c>
      <c r="C8" s="6">
        <f>'Data Sheet'!C45</f>
        <v>0</v>
      </c>
      <c r="D8" s="6">
        <f>'Data Sheet'!D45</f>
        <v>0</v>
      </c>
      <c r="E8" s="6">
        <f>'Data Sheet'!E45</f>
        <v>0</v>
      </c>
      <c r="F8" s="6">
        <f>'Data Sheet'!F45</f>
        <v>0</v>
      </c>
      <c r="G8" s="6">
        <f>'Data Sheet'!G45</f>
        <v>0</v>
      </c>
      <c r="H8" s="6">
        <f>'Data Sheet'!H45</f>
        <v>0</v>
      </c>
      <c r="I8" s="6">
        <f>'Data Sheet'!I45</f>
        <v>0</v>
      </c>
      <c r="J8" s="6">
        <f>'Data Sheet'!J45</f>
        <v>0</v>
      </c>
      <c r="K8" s="6">
        <f>'Data Sheet'!K45</f>
        <v>0</v>
      </c>
    </row>
    <row r="9" spans="1:11">
      <c r="A9" t="s">
        <v>11</v>
      </c>
      <c r="B9" s="6">
        <f>'Data Sheet'!B46</f>
        <v>13971.9</v>
      </c>
      <c r="C9" s="6">
        <f>'Data Sheet'!C46</f>
        <v>14748.97</v>
      </c>
      <c r="D9" s="6">
        <f>'Data Sheet'!D46</f>
        <v>15942.63</v>
      </c>
      <c r="E9" s="6">
        <f>'Data Sheet'!E46</f>
        <v>16727.240000000002</v>
      </c>
      <c r="F9" s="6">
        <f>'Data Sheet'!F46</f>
        <v>17261</v>
      </c>
      <c r="G9" s="6">
        <f>'Data Sheet'!G46</f>
        <v>17614.919999999998</v>
      </c>
      <c r="H9" s="6">
        <f>'Data Sheet'!H46</f>
        <v>18039.68</v>
      </c>
      <c r="I9" s="6">
        <f>'Data Sheet'!I46</f>
        <v>18120.71</v>
      </c>
      <c r="J9" s="6">
        <f>'Data Sheet'!J46</f>
        <v>18238.689999999999</v>
      </c>
      <c r="K9" s="6">
        <f>'Data Sheet'!K46</f>
        <v>17971.47</v>
      </c>
    </row>
    <row r="10" spans="1:11">
      <c r="A10" t="s">
        <v>12</v>
      </c>
      <c r="B10" s="6">
        <f>'Data Sheet'!B47</f>
        <v>8191.62</v>
      </c>
      <c r="C10" s="6">
        <f>'Data Sheet'!C47</f>
        <v>8313.81</v>
      </c>
      <c r="D10" s="6">
        <f>'Data Sheet'!D47</f>
        <v>8687.7000000000007</v>
      </c>
      <c r="E10" s="6">
        <f>'Data Sheet'!E47</f>
        <v>9984.8700000000008</v>
      </c>
      <c r="F10" s="6">
        <f>'Data Sheet'!F47</f>
        <v>8643.34</v>
      </c>
      <c r="G10" s="6">
        <f>'Data Sheet'!G47</f>
        <v>9177.2900000000009</v>
      </c>
      <c r="H10" s="6">
        <f>'Data Sheet'!H47</f>
        <v>9006.76</v>
      </c>
      <c r="I10" s="6">
        <f>'Data Sheet'!I47</f>
        <v>9894.77</v>
      </c>
      <c r="J10" s="6">
        <f>'Data Sheet'!J47</f>
        <v>8179.7</v>
      </c>
      <c r="K10" s="6">
        <f>'Data Sheet'!K47</f>
        <v>7495.94</v>
      </c>
    </row>
    <row r="11" spans="1:11">
      <c r="A11" t="s">
        <v>13</v>
      </c>
      <c r="B11" s="6">
        <f>'Data Sheet'!B48</f>
        <v>2092.67</v>
      </c>
      <c r="C11" s="6">
        <f>'Data Sheet'!C48</f>
        <v>2096.13</v>
      </c>
      <c r="D11" s="6">
        <f>'Data Sheet'!D48</f>
        <v>2194.34</v>
      </c>
      <c r="E11" s="6">
        <f>'Data Sheet'!E48</f>
        <v>2371.3200000000002</v>
      </c>
      <c r="F11" s="6">
        <f>'Data Sheet'!F48</f>
        <v>2193.31</v>
      </c>
      <c r="G11" s="6">
        <f>'Data Sheet'!G48</f>
        <v>1768.39</v>
      </c>
      <c r="H11" s="6">
        <f>'Data Sheet'!H48</f>
        <v>2243.66</v>
      </c>
      <c r="I11" s="6">
        <f>'Data Sheet'!I48</f>
        <v>2405.06</v>
      </c>
      <c r="J11" s="6">
        <f>'Data Sheet'!J48</f>
        <v>1919.53</v>
      </c>
      <c r="K11" s="6">
        <f>'Data Sheet'!K48</f>
        <v>1938.43</v>
      </c>
    </row>
    <row r="12" spans="1:11" s="2" customFormat="1">
      <c r="A12" s="2" t="s">
        <v>14</v>
      </c>
      <c r="B12" s="1">
        <f>'Data Sheet'!B49</f>
        <v>6091.35</v>
      </c>
      <c r="C12" s="1">
        <f>'Data Sheet'!C49</f>
        <v>6204.15</v>
      </c>
      <c r="D12" s="1">
        <f>'Data Sheet'!D49</f>
        <v>6491.66</v>
      </c>
      <c r="E12" s="1">
        <f>'Data Sheet'!E49</f>
        <v>7599.04</v>
      </c>
      <c r="F12" s="1">
        <f>'Data Sheet'!F49</f>
        <v>6436.43</v>
      </c>
      <c r="G12" s="1">
        <f>'Data Sheet'!G49</f>
        <v>7401.26</v>
      </c>
      <c r="H12" s="1">
        <f>'Data Sheet'!H49</f>
        <v>6742.29</v>
      </c>
      <c r="I12" s="1">
        <f>'Data Sheet'!I49</f>
        <v>7475.13</v>
      </c>
      <c r="J12" s="1">
        <f>'Data Sheet'!J49</f>
        <v>6243.72</v>
      </c>
      <c r="K12" s="1">
        <f>'Data Sheet'!K49</f>
        <v>5527.85</v>
      </c>
    </row>
    <row r="14" spans="1:11" s="2" customFormat="1">
      <c r="A14" s="2" t="s">
        <v>18</v>
      </c>
      <c r="B14" s="10">
        <f>IF(B4&gt;0,B6/B4,"")</f>
        <v>0.62924726069830761</v>
      </c>
      <c r="C14" s="10">
        <f t="shared" ref="C14:K14" si="0">IF(C4&gt;0,C6/C4,"")</f>
        <v>0.63310152300371336</v>
      </c>
      <c r="D14" s="10">
        <f t="shared" si="0"/>
        <v>0.63601499383340498</v>
      </c>
      <c r="E14" s="10">
        <f t="shared" si="0"/>
        <v>0.63202856180728251</v>
      </c>
      <c r="F14" s="10">
        <f t="shared" si="0"/>
        <v>0.61835350331145378</v>
      </c>
      <c r="G14" s="10">
        <f t="shared" si="0"/>
        <v>0.60724216442175183</v>
      </c>
      <c r="H14" s="10">
        <f t="shared" si="0"/>
        <v>0.62960462903657088</v>
      </c>
      <c r="I14" s="10">
        <f t="shared" si="0"/>
        <v>0.63199672627411529</v>
      </c>
      <c r="J14" s="10">
        <f t="shared" si="0"/>
        <v>0.56774836150636621</v>
      </c>
      <c r="K14" s="10">
        <f t="shared" si="0"/>
        <v>0.55733389621776952</v>
      </c>
    </row>
    <row r="22" s="20" customFormat="1"/>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6"/>
  <sheetViews>
    <sheetView zoomScale="125" workbookViewId="0">
      <pane xSplit="1" ySplit="3" topLeftCell="B10" activePane="bottomRight" state="frozen"/>
      <selection activeCell="C4" sqref="C4"/>
      <selection pane="topRight" activeCell="C4" sqref="C4"/>
      <selection pane="bottomLeft" activeCell="C4" sqref="C4"/>
      <selection pane="bottomRight" activeCell="B26" sqref="B26:K26"/>
    </sheetView>
  </sheetViews>
  <sheetFormatPr defaultColWidth="8.77734375" defaultRowHeight="14.4"/>
  <cols>
    <col min="1" max="1" width="22.77734375" bestFit="1" customWidth="1"/>
    <col min="2" max="2" width="13.44140625" customWidth="1"/>
    <col min="3" max="11" width="15.44140625" customWidth="1"/>
  </cols>
  <sheetData>
    <row r="1" spans="1:11" s="2" customFormat="1">
      <c r="A1" s="2" t="str">
        <f>'Profit &amp; Loss'!A1</f>
        <v>AXIS BANK LTD</v>
      </c>
      <c r="E1" t="str">
        <f>UPDATE</f>
        <v/>
      </c>
      <c r="G1"/>
      <c r="J1" s="2" t="s">
        <v>1</v>
      </c>
    </row>
    <row r="2" spans="1:11">
      <c r="G2" s="2"/>
      <c r="H2" s="2"/>
    </row>
    <row r="3" spans="1:11">
      <c r="A3" s="11" t="s">
        <v>2</v>
      </c>
      <c r="B3" s="12">
        <f>'Data Sheet'!B56</f>
        <v>42460</v>
      </c>
      <c r="C3" s="12">
        <f>'Data Sheet'!C56</f>
        <v>42825</v>
      </c>
      <c r="D3" s="12">
        <f>'Data Sheet'!D56</f>
        <v>43190</v>
      </c>
      <c r="E3" s="12">
        <f>'Data Sheet'!E56</f>
        <v>43555</v>
      </c>
      <c r="F3" s="12">
        <f>'Data Sheet'!F56</f>
        <v>43921</v>
      </c>
      <c r="G3" s="12">
        <f>'Data Sheet'!G56</f>
        <v>44286</v>
      </c>
      <c r="H3" s="12">
        <f>'Data Sheet'!H56</f>
        <v>44651</v>
      </c>
      <c r="I3" s="12">
        <f>'Data Sheet'!I56</f>
        <v>45016</v>
      </c>
      <c r="J3" s="12">
        <f>'Data Sheet'!J56</f>
        <v>45382</v>
      </c>
      <c r="K3" s="12">
        <f>'Data Sheet'!K56</f>
        <v>45747</v>
      </c>
    </row>
    <row r="4" spans="1:11">
      <c r="A4" t="s">
        <v>24</v>
      </c>
      <c r="B4" s="14">
        <f>'Data Sheet'!B57</f>
        <v>476.57</v>
      </c>
      <c r="C4" s="14">
        <f>'Data Sheet'!C57</f>
        <v>479.01</v>
      </c>
      <c r="D4" s="14">
        <f>'Data Sheet'!D57</f>
        <v>513.30999999999995</v>
      </c>
      <c r="E4" s="14">
        <f>'Data Sheet'!E57</f>
        <v>514.33000000000004</v>
      </c>
      <c r="F4" s="14">
        <f>'Data Sheet'!F57</f>
        <v>564.34</v>
      </c>
      <c r="G4" s="14">
        <f>'Data Sheet'!G57</f>
        <v>612.75</v>
      </c>
      <c r="H4" s="14">
        <f>'Data Sheet'!H57</f>
        <v>613.95000000000005</v>
      </c>
      <c r="I4" s="14">
        <f>'Data Sheet'!I57</f>
        <v>615.37</v>
      </c>
      <c r="J4" s="14">
        <f>'Data Sheet'!J57</f>
        <v>617.30999999999995</v>
      </c>
      <c r="K4" s="14">
        <f>'Data Sheet'!K57</f>
        <v>619.47</v>
      </c>
    </row>
    <row r="5" spans="1:11">
      <c r="A5" t="s">
        <v>25</v>
      </c>
      <c r="B5" s="14">
        <f>'Data Sheet'!B58</f>
        <v>53082.19</v>
      </c>
      <c r="C5" s="14">
        <f>'Data Sheet'!C58</f>
        <v>55901.34</v>
      </c>
      <c r="D5" s="14">
        <f>'Data Sheet'!D58</f>
        <v>63694.1</v>
      </c>
      <c r="E5" s="14">
        <f>'Data Sheet'!E58</f>
        <v>67288.289999999994</v>
      </c>
      <c r="F5" s="14">
        <f>'Data Sheet'!F58</f>
        <v>85776.09</v>
      </c>
      <c r="G5" s="14">
        <f>'Data Sheet'!G58</f>
        <v>102980.95</v>
      </c>
      <c r="H5" s="14">
        <f>'Data Sheet'!H58</f>
        <v>117646.71</v>
      </c>
      <c r="I5" s="14">
        <f>'Data Sheet'!I58</f>
        <v>129166.34</v>
      </c>
      <c r="J5" s="14">
        <f>'Data Sheet'!J58</f>
        <v>156406.21</v>
      </c>
      <c r="K5" s="14">
        <f>'Data Sheet'!K58</f>
        <v>186616.02</v>
      </c>
    </row>
    <row r="6" spans="1:11">
      <c r="A6" t="s">
        <v>62</v>
      </c>
      <c r="B6" s="14">
        <f>'Data Sheet'!B59</f>
        <v>472149.92</v>
      </c>
      <c r="C6" s="14">
        <f>'Data Sheet'!C59</f>
        <v>527437.43999999994</v>
      </c>
      <c r="D6" s="14">
        <f>'Data Sheet'!D59</f>
        <v>611424.85</v>
      </c>
      <c r="E6" s="14">
        <f>'Data Sheet'!E59</f>
        <v>711995.77</v>
      </c>
      <c r="F6" s="14">
        <f>'Data Sheet'!F59</f>
        <v>797337.38</v>
      </c>
      <c r="G6" s="14">
        <f>'Data Sheet'!G59</f>
        <v>850551.35</v>
      </c>
      <c r="H6" s="14">
        <f>'Data Sheet'!H59</f>
        <v>1020942.96</v>
      </c>
      <c r="I6" s="14">
        <f>'Data Sheet'!I59</f>
        <v>1152038.29</v>
      </c>
      <c r="J6" s="14">
        <f>'Data Sheet'!J59</f>
        <v>1295301.95</v>
      </c>
      <c r="K6" s="14">
        <f>'Data Sheet'!K59</f>
        <v>1391607.64</v>
      </c>
    </row>
    <row r="7" spans="1:11">
      <c r="A7" t="s">
        <v>63</v>
      </c>
      <c r="B7" s="14">
        <f>'Data Sheet'!B60</f>
        <v>20677.939999999999</v>
      </c>
      <c r="C7" s="14">
        <f>'Data Sheet'!C60</f>
        <v>27644.22</v>
      </c>
      <c r="D7" s="14">
        <f>'Data Sheet'!D60</f>
        <v>28071.11</v>
      </c>
      <c r="E7" s="14">
        <f>'Data Sheet'!E60</f>
        <v>34247.58</v>
      </c>
      <c r="F7" s="14">
        <f>'Data Sheet'!F60</f>
        <v>44194</v>
      </c>
      <c r="G7" s="14">
        <f>'Data Sheet'!G60</f>
        <v>46859.49</v>
      </c>
      <c r="H7" s="14">
        <f>'Data Sheet'!H60</f>
        <v>56575.53</v>
      </c>
      <c r="I7" s="14">
        <f>'Data Sheet'!I60</f>
        <v>62597.96</v>
      </c>
      <c r="J7" s="14">
        <f>'Data Sheet'!J60</f>
        <v>65913.06</v>
      </c>
      <c r="K7" s="14">
        <f>'Data Sheet'!K60</f>
        <v>78119.48</v>
      </c>
    </row>
    <row r="8" spans="1:11" s="2" customFormat="1">
      <c r="A8" s="2" t="s">
        <v>26</v>
      </c>
      <c r="B8" s="15">
        <f>'Data Sheet'!B61</f>
        <v>546386.62</v>
      </c>
      <c r="C8" s="15">
        <f>'Data Sheet'!C61</f>
        <v>611462.01</v>
      </c>
      <c r="D8" s="15">
        <f>'Data Sheet'!D61</f>
        <v>703703.37</v>
      </c>
      <c r="E8" s="15">
        <f>'Data Sheet'!E61</f>
        <v>814045.97</v>
      </c>
      <c r="F8" s="15">
        <f>'Data Sheet'!F61</f>
        <v>927871.81</v>
      </c>
      <c r="G8" s="15">
        <f>'Data Sheet'!G61</f>
        <v>1001004.54</v>
      </c>
      <c r="H8" s="15">
        <f>'Data Sheet'!H61</f>
        <v>1195779.1499999999</v>
      </c>
      <c r="I8" s="15">
        <f>'Data Sheet'!I61</f>
        <v>1344417.96</v>
      </c>
      <c r="J8" s="15">
        <f>'Data Sheet'!J61</f>
        <v>1518238.53</v>
      </c>
      <c r="K8" s="15">
        <f>'Data Sheet'!K61</f>
        <v>1656962.61</v>
      </c>
    </row>
    <row r="9" spans="1:11" s="2" customFormat="1">
      <c r="B9" s="15"/>
      <c r="C9" s="15"/>
      <c r="D9" s="15"/>
      <c r="E9" s="15"/>
      <c r="F9" s="15"/>
      <c r="G9" s="15"/>
      <c r="H9" s="15"/>
      <c r="I9" s="15"/>
      <c r="J9" s="15"/>
      <c r="K9" s="15"/>
    </row>
    <row r="10" spans="1:11">
      <c r="A10" t="s">
        <v>27</v>
      </c>
      <c r="B10" s="14">
        <f>'Data Sheet'!B62</f>
        <v>3357.87</v>
      </c>
      <c r="C10" s="14">
        <f>'Data Sheet'!C62</f>
        <v>3518.14</v>
      </c>
      <c r="D10" s="14">
        <f>'Data Sheet'!D62</f>
        <v>3697.03</v>
      </c>
      <c r="E10" s="14">
        <f>'Data Sheet'!E62</f>
        <v>3842.12</v>
      </c>
      <c r="F10" s="14">
        <f>'Data Sheet'!F62</f>
        <v>3911.74</v>
      </c>
      <c r="G10" s="14">
        <f>'Data Sheet'!G62</f>
        <v>4500.59</v>
      </c>
      <c r="H10" s="14">
        <f>'Data Sheet'!H62</f>
        <v>4753.2299999999996</v>
      </c>
      <c r="I10" s="14">
        <f>'Data Sheet'!I62</f>
        <v>4999.68</v>
      </c>
      <c r="J10" s="14">
        <f>'Data Sheet'!J62</f>
        <v>5859.9</v>
      </c>
      <c r="K10" s="14">
        <f>'Data Sheet'!K62</f>
        <v>6660.74</v>
      </c>
    </row>
    <row r="11" spans="1:11">
      <c r="A11" t="s">
        <v>28</v>
      </c>
      <c r="B11" s="14">
        <f>'Data Sheet'!B63</f>
        <v>215.89</v>
      </c>
      <c r="C11" s="14">
        <f>'Data Sheet'!C63</f>
        <v>292.10000000000002</v>
      </c>
      <c r="D11" s="14">
        <f>'Data Sheet'!D63</f>
        <v>351.79</v>
      </c>
      <c r="E11" s="14">
        <f>'Data Sheet'!E63</f>
        <v>287.76</v>
      </c>
      <c r="F11" s="14">
        <f>'Data Sheet'!F63</f>
        <v>482.6</v>
      </c>
      <c r="G11" s="14">
        <f>'Data Sheet'!G63</f>
        <v>118.34</v>
      </c>
      <c r="H11" s="14">
        <f>'Data Sheet'!H63</f>
        <v>215.13</v>
      </c>
      <c r="I11" s="14">
        <f>'Data Sheet'!I63</f>
        <v>142.13999999999999</v>
      </c>
      <c r="J11" s="14">
        <f>'Data Sheet'!J63</f>
        <v>266.89999999999998</v>
      </c>
      <c r="K11" s="14">
        <f>'Data Sheet'!K63</f>
        <v>120.58</v>
      </c>
    </row>
    <row r="12" spans="1:11">
      <c r="A12" t="s">
        <v>29</v>
      </c>
      <c r="B12" s="14">
        <f>'Data Sheet'!B64</f>
        <v>131398.64000000001</v>
      </c>
      <c r="C12" s="14">
        <f>'Data Sheet'!C64</f>
        <v>129018.35</v>
      </c>
      <c r="D12" s="14">
        <f>'Data Sheet'!D64</f>
        <v>153036.71</v>
      </c>
      <c r="E12" s="14">
        <f>'Data Sheet'!E64</f>
        <v>174055.85</v>
      </c>
      <c r="F12" s="14">
        <f>'Data Sheet'!F64</f>
        <v>155281.63</v>
      </c>
      <c r="G12" s="14">
        <f>'Data Sheet'!G64</f>
        <v>225335.77</v>
      </c>
      <c r="H12" s="14">
        <f>'Data Sheet'!H64</f>
        <v>274608.13</v>
      </c>
      <c r="I12" s="14">
        <f>'Data Sheet'!I64</f>
        <v>288094.83</v>
      </c>
      <c r="J12" s="14">
        <f>'Data Sheet'!J64</f>
        <v>332353.74</v>
      </c>
      <c r="K12" s="14">
        <f>'Data Sheet'!K64</f>
        <v>396685.07</v>
      </c>
    </row>
    <row r="13" spans="1:11">
      <c r="A13" t="s">
        <v>64</v>
      </c>
      <c r="B13" s="14">
        <f>'Data Sheet'!B65</f>
        <v>411414.22</v>
      </c>
      <c r="C13" s="14">
        <f>'Data Sheet'!C65</f>
        <v>478633.42</v>
      </c>
      <c r="D13" s="14">
        <f>'Data Sheet'!D65</f>
        <v>546617.84</v>
      </c>
      <c r="E13" s="14">
        <f>'Data Sheet'!E65</f>
        <v>635860.24</v>
      </c>
      <c r="F13" s="14">
        <f>'Data Sheet'!F65</f>
        <v>768195.84</v>
      </c>
      <c r="G13" s="14">
        <f>'Data Sheet'!G65</f>
        <v>771049.84</v>
      </c>
      <c r="H13" s="14">
        <f>'Data Sheet'!H65</f>
        <v>916202.66</v>
      </c>
      <c r="I13" s="14">
        <f>'Data Sheet'!I65</f>
        <v>1051181.31</v>
      </c>
      <c r="J13" s="14">
        <f>'Data Sheet'!J65</f>
        <v>1179757.99</v>
      </c>
      <c r="K13" s="14">
        <f>'Data Sheet'!K65</f>
        <v>1253496.22</v>
      </c>
    </row>
    <row r="14" spans="1:11" s="2" customFormat="1">
      <c r="A14" s="2" t="s">
        <v>26</v>
      </c>
      <c r="B14" s="14">
        <f>'Data Sheet'!B66</f>
        <v>546386.62</v>
      </c>
      <c r="C14" s="14">
        <f>'Data Sheet'!C66</f>
        <v>611462.01</v>
      </c>
      <c r="D14" s="14">
        <f>'Data Sheet'!D66</f>
        <v>703703.37</v>
      </c>
      <c r="E14" s="14">
        <f>'Data Sheet'!E66</f>
        <v>814045.97</v>
      </c>
      <c r="F14" s="14">
        <f>'Data Sheet'!F66</f>
        <v>927871.81</v>
      </c>
      <c r="G14" s="14">
        <f>'Data Sheet'!G66</f>
        <v>1001004.54</v>
      </c>
      <c r="H14" s="14">
        <f>'Data Sheet'!H66</f>
        <v>1195779.1499999999</v>
      </c>
      <c r="I14" s="14">
        <f>'Data Sheet'!I66</f>
        <v>1344417.96</v>
      </c>
      <c r="J14" s="14">
        <f>'Data Sheet'!J66</f>
        <v>1518238.53</v>
      </c>
      <c r="K14" s="14">
        <f>'Data Sheet'!K66</f>
        <v>1656962.61</v>
      </c>
    </row>
    <row r="15" spans="1:11">
      <c r="B15" s="4"/>
      <c r="C15" s="4"/>
      <c r="D15" s="4"/>
      <c r="E15" s="4"/>
      <c r="F15" s="4"/>
      <c r="G15" s="4"/>
      <c r="H15" s="4"/>
      <c r="I15" s="4"/>
      <c r="J15" s="4"/>
      <c r="K15" s="4"/>
    </row>
    <row r="16" spans="1:11">
      <c r="A16" t="s">
        <v>30</v>
      </c>
      <c r="B16" s="4">
        <f>B13-B7</f>
        <v>390736.27999999997</v>
      </c>
      <c r="C16" s="4">
        <f t="shared" ref="C16:K16" si="0">C13-C7</f>
        <v>450989.19999999995</v>
      </c>
      <c r="D16" s="4">
        <f t="shared" si="0"/>
        <v>518546.73</v>
      </c>
      <c r="E16" s="4">
        <f t="shared" si="0"/>
        <v>601612.66</v>
      </c>
      <c r="F16" s="4">
        <f t="shared" si="0"/>
        <v>724001.84</v>
      </c>
      <c r="G16" s="4">
        <f t="shared" si="0"/>
        <v>724190.35</v>
      </c>
      <c r="H16" s="4">
        <f t="shared" si="0"/>
        <v>859627.13</v>
      </c>
      <c r="I16" s="4">
        <f t="shared" si="0"/>
        <v>988583.35000000009</v>
      </c>
      <c r="J16" s="4">
        <f t="shared" si="0"/>
        <v>1113844.93</v>
      </c>
      <c r="K16" s="4">
        <f t="shared" si="0"/>
        <v>1175376.74</v>
      </c>
    </row>
    <row r="17" spans="1:11">
      <c r="A17" t="s">
        <v>44</v>
      </c>
      <c r="B17" s="4">
        <f>'Data Sheet'!B67</f>
        <v>0</v>
      </c>
      <c r="C17" s="4">
        <f>'Data Sheet'!C67</f>
        <v>0</v>
      </c>
      <c r="D17" s="4">
        <f>'Data Sheet'!D67</f>
        <v>0</v>
      </c>
      <c r="E17" s="4">
        <f>'Data Sheet'!E67</f>
        <v>0</v>
      </c>
      <c r="F17" s="4">
        <f>'Data Sheet'!F67</f>
        <v>0</v>
      </c>
      <c r="G17" s="4">
        <f>'Data Sheet'!G67</f>
        <v>0</v>
      </c>
      <c r="H17" s="4">
        <f>'Data Sheet'!H67</f>
        <v>0</v>
      </c>
      <c r="I17" s="4">
        <f>'Data Sheet'!I67</f>
        <v>0</v>
      </c>
      <c r="J17" s="4">
        <f>'Data Sheet'!J67</f>
        <v>0</v>
      </c>
      <c r="K17" s="4">
        <f>'Data Sheet'!K67</f>
        <v>0</v>
      </c>
    </row>
    <row r="18" spans="1:11">
      <c r="A18" t="s">
        <v>45</v>
      </c>
      <c r="B18" s="4">
        <f>'Data Sheet'!B68</f>
        <v>0</v>
      </c>
      <c r="C18" s="4">
        <f>'Data Sheet'!C68</f>
        <v>0</v>
      </c>
      <c r="D18" s="4">
        <f>'Data Sheet'!D68</f>
        <v>0</v>
      </c>
      <c r="E18" s="4">
        <f>'Data Sheet'!E68</f>
        <v>0</v>
      </c>
      <c r="F18" s="4">
        <f>'Data Sheet'!F68</f>
        <v>0</v>
      </c>
      <c r="G18" s="4">
        <f>'Data Sheet'!G68</f>
        <v>0</v>
      </c>
      <c r="H18" s="4">
        <f>'Data Sheet'!H68</f>
        <v>0</v>
      </c>
      <c r="I18" s="4">
        <f>'Data Sheet'!I68</f>
        <v>0</v>
      </c>
      <c r="J18" s="4">
        <f>'Data Sheet'!J68</f>
        <v>0</v>
      </c>
      <c r="K18" s="4">
        <f>'Data Sheet'!K68</f>
        <v>0</v>
      </c>
    </row>
    <row r="20" spans="1:11">
      <c r="A20" t="s">
        <v>46</v>
      </c>
      <c r="B20" s="4">
        <f>IF('Profit &amp; Loss'!B4&gt;0,'Balance Sheet'!B17/('Profit &amp; Loss'!B4/365),0)</f>
        <v>0</v>
      </c>
      <c r="C20" s="4">
        <f>IF('Profit &amp; Loss'!C4&gt;0,'Balance Sheet'!C17/('Profit &amp; Loss'!C4/365),0)</f>
        <v>0</v>
      </c>
      <c r="D20" s="4">
        <f>IF('Profit &amp; Loss'!D4&gt;0,'Balance Sheet'!D17/('Profit &amp; Loss'!D4/365),0)</f>
        <v>0</v>
      </c>
      <c r="E20" s="4">
        <f>IF('Profit &amp; Loss'!E4&gt;0,'Balance Sheet'!E17/('Profit &amp; Loss'!E4/365),0)</f>
        <v>0</v>
      </c>
      <c r="F20" s="4">
        <f>IF('Profit &amp; Loss'!F4&gt;0,'Balance Sheet'!F17/('Profit &amp; Loss'!F4/365),0)</f>
        <v>0</v>
      </c>
      <c r="G20" s="4">
        <f>IF('Profit &amp; Loss'!G4&gt;0,'Balance Sheet'!G17/('Profit &amp; Loss'!G4/365),0)</f>
        <v>0</v>
      </c>
      <c r="H20" s="4">
        <f>IF('Profit &amp; Loss'!H4&gt;0,'Balance Sheet'!H17/('Profit &amp; Loss'!H4/365),0)</f>
        <v>0</v>
      </c>
      <c r="I20" s="4">
        <f>IF('Profit &amp; Loss'!I4&gt;0,'Balance Sheet'!I17/('Profit &amp; Loss'!I4/365),0)</f>
        <v>0</v>
      </c>
      <c r="J20" s="4">
        <f>IF('Profit &amp; Loss'!J4&gt;0,'Balance Sheet'!J17/('Profit &amp; Loss'!J4/365),0)</f>
        <v>0</v>
      </c>
      <c r="K20" s="4">
        <f>IF('Profit &amp; Loss'!K4&gt;0,'Balance Sheet'!K17/('Profit &amp; Loss'!K4/365),0)</f>
        <v>0</v>
      </c>
    </row>
    <row r="21" spans="1:11">
      <c r="A21" t="s">
        <v>47</v>
      </c>
      <c r="B21" s="4">
        <f>IF('Balance Sheet'!B18&gt;0,'Profit &amp; Loss'!B4/'Balance Sheet'!B18,0)</f>
        <v>0</v>
      </c>
      <c r="C21" s="4">
        <f>IF('Balance Sheet'!C18&gt;0,'Profit &amp; Loss'!C4/'Balance Sheet'!C18,0)</f>
        <v>0</v>
      </c>
      <c r="D21" s="4">
        <f>IF('Balance Sheet'!D18&gt;0,'Profit &amp; Loss'!D4/'Balance Sheet'!D18,0)</f>
        <v>0</v>
      </c>
      <c r="E21" s="4">
        <f>IF('Balance Sheet'!E18&gt;0,'Profit &amp; Loss'!E4/'Balance Sheet'!E18,0)</f>
        <v>0</v>
      </c>
      <c r="F21" s="4">
        <f>IF('Balance Sheet'!F18&gt;0,'Profit &amp; Loss'!F4/'Balance Sheet'!F18,0)</f>
        <v>0</v>
      </c>
      <c r="G21" s="4">
        <f>IF('Balance Sheet'!G18&gt;0,'Profit &amp; Loss'!G4/'Balance Sheet'!G18,0)</f>
        <v>0</v>
      </c>
      <c r="H21" s="4">
        <f>IF('Balance Sheet'!H18&gt;0,'Profit &amp; Loss'!H4/'Balance Sheet'!H18,0)</f>
        <v>0</v>
      </c>
      <c r="I21" s="4">
        <f>IF('Balance Sheet'!I18&gt;0,'Profit &amp; Loss'!I4/'Balance Sheet'!I18,0)</f>
        <v>0</v>
      </c>
      <c r="J21" s="4">
        <f>IF('Balance Sheet'!J18&gt;0,'Profit &amp; Loss'!J4/'Balance Sheet'!J18,0)</f>
        <v>0</v>
      </c>
      <c r="K21" s="4">
        <f>IF('Balance Sheet'!K18&gt;0,'Profit &amp; Loss'!K4/'Balance Sheet'!K18,0)</f>
        <v>0</v>
      </c>
    </row>
    <row r="23" spans="1:11" s="2" customFormat="1">
      <c r="A23" s="2" t="s">
        <v>50</v>
      </c>
      <c r="B23" s="10">
        <f>IF(SUM('Balance Sheet'!B4:B5)&gt;0,'Profit &amp; Loss'!B12/SUM('Balance Sheet'!B4:B5),"")</f>
        <v>0.15589737327749933</v>
      </c>
      <c r="C23" s="10">
        <f>IF(SUM('Balance Sheet'!C4:C5)&gt;0,'Profit &amp; Loss'!C12/SUM('Balance Sheet'!C4:C5),"")</f>
        <v>7.0113612278036586E-2</v>
      </c>
      <c r="D23" s="10">
        <f>IF(SUM('Balance Sheet'!D4:D5)&gt;0,'Profit &amp; Loss'!D12/SUM('Balance Sheet'!D4:D5),"")</f>
        <v>7.0991806085933078E-3</v>
      </c>
      <c r="E23" s="10">
        <f>IF(SUM('Balance Sheet'!E4:E5)&gt;0,'Profit &amp; Loss'!E12/SUM('Balance Sheet'!E4:E5),"")</f>
        <v>7.4312615058238163E-2</v>
      </c>
      <c r="F23" s="10">
        <f>IF(SUM('Balance Sheet'!F4:F5)&gt;0,'Profit &amp; Loss'!F12/SUM('Balance Sheet'!F4:F5),"")</f>
        <v>2.1462830333367579E-2</v>
      </c>
      <c r="G23" s="10">
        <f>IF(SUM('Balance Sheet'!G4:G5)&gt;0,'Profit &amp; Loss'!G12/SUM('Balance Sheet'!G4:G5),"")</f>
        <v>6.9458857054048653E-2</v>
      </c>
      <c r="H23" s="10">
        <f>IF(SUM('Balance Sheet'!H4:H5)&gt;0,'Profit &amp; Loss'!H12/SUM('Balance Sheet'!H4:H5),"")</f>
        <v>0.11939126671540647</v>
      </c>
      <c r="I23" s="10">
        <f>IF(SUM('Balance Sheet'!I4:I5)&gt;0,'Profit &amp; Loss'!I12/SUM('Balance Sheet'!I4:I5),"")</f>
        <v>8.3358818434431187E-2</v>
      </c>
      <c r="J23" s="10">
        <f>IF(SUM('Balance Sheet'!J4:J5)&gt;0,'Profit &amp; Loss'!J12/SUM('Balance Sheet'!J4:J5),"")</f>
        <v>0.16803979429323709</v>
      </c>
      <c r="K23" s="10">
        <f>IF(SUM('Balance Sheet'!K4:K5)&gt;0,'Profit &amp; Loss'!K12/SUM('Balance Sheet'!K4:K5),"")</f>
        <v>0.14983863369065342</v>
      </c>
    </row>
    <row r="24" spans="1:11" s="2" customFormat="1">
      <c r="A24" s="2" t="s">
        <v>51</v>
      </c>
      <c r="B24" s="10"/>
      <c r="C24" s="10">
        <f>IF((B4+B5+B6+C4+C5+C6)&gt;0,('Profit &amp; Loss'!C10+'Profit &amp; Loss'!C9)*2/(B4+B5+B6+C4+C5+C6),"")</f>
        <v>5.902186362439827E-2</v>
      </c>
      <c r="D24" s="10">
        <f>IF((C4+C5+C6+D4+D5+D6)&gt;0,('Profit &amp; Loss'!D10+'Profit &amp; Loss'!D9)*2/(C4+C5+C6+D4+D5+D6),"")</f>
        <v>4.4733127764773208E-2</v>
      </c>
      <c r="E24" s="10">
        <f>IF((D4+D5+D6+E4+E5+E6)&gt;0,('Profit &amp; Loss'!E10+'Profit &amp; Loss'!E9)*2/(D4+D5+D6+E4+E5+E6),"")</f>
        <v>5.6994154960251807E-2</v>
      </c>
      <c r="F24" s="10">
        <f>IF((E4+E5+E6+F4+F5+F6)&gt;0,('Profit &amp; Loss'!F10+'Profit &amp; Loss'!F9)*2/(E4+E5+E6+F4+F5+F6),"")</f>
        <v>5.2030789499723541E-2</v>
      </c>
      <c r="G24" s="10">
        <f>IF((F4+F5+F6+G4+G5+G6)&gt;0,('Profit &amp; Loss'!G10+'Profit &amp; Loss'!G9)*2/(F4+F5+F6+G4+G5+G6),"")</f>
        <v>4.8293511813211426E-2</v>
      </c>
      <c r="H24" s="10">
        <f>IF((G4+G5+G6+H4+H5+H6)&gt;0,('Profit &amp; Loss'!H10+'Profit &amp; Loss'!H9)*2/(G4+G5+G6+H4+H5+H6),"")</f>
        <v>5.1450693113632144E-2</v>
      </c>
      <c r="I24" s="10">
        <f>IF((H4+H5+H6+I4+I5+I6)&gt;0,('Profit &amp; Loss'!I10+'Profit &amp; Loss'!I9)*2/(H4+H5+H6+I4+I5+I6),"")</f>
        <v>5.1226538632448367E-2</v>
      </c>
      <c r="J24" s="10">
        <f>IF((I4+I5+I6+J4+J5+J6)&gt;0,('Profit &amp; Loss'!J10+'Profit &amp; Loss'!J9)*2/(I4+I5+I6+J4+J5+J6),"")</f>
        <v>7.0639065155520056E-2</v>
      </c>
      <c r="K24" s="10">
        <f>IF((J4+J5+J6+K4+K5+K6)&gt;0,('Profit &amp; Loss'!K10+'Profit &amp; Loss'!K9)*2/(J4+J5+J6+K4+K5+K6),"")</f>
        <v>7.110028125786208E-2</v>
      </c>
    </row>
    <row r="26" spans="1:11">
      <c r="A26" t="s">
        <v>112</v>
      </c>
      <c r="B26" s="43">
        <f>B4+B5</f>
        <v>53558.76</v>
      </c>
      <c r="C26" s="43">
        <f t="shared" ref="C26:K26" si="1">C4+C5</f>
        <v>56380.35</v>
      </c>
      <c r="D26" s="43">
        <f t="shared" si="1"/>
        <v>64207.409999999996</v>
      </c>
      <c r="E26" s="43">
        <f t="shared" si="1"/>
        <v>67802.62</v>
      </c>
      <c r="F26" s="43">
        <f t="shared" si="1"/>
        <v>86340.43</v>
      </c>
      <c r="G26" s="43">
        <f t="shared" si="1"/>
        <v>103593.7</v>
      </c>
      <c r="H26" s="43">
        <f t="shared" si="1"/>
        <v>118260.66</v>
      </c>
      <c r="I26" s="43">
        <f t="shared" si="1"/>
        <v>129781.70999999999</v>
      </c>
      <c r="J26" s="43">
        <f t="shared" si="1"/>
        <v>157023.51999999999</v>
      </c>
      <c r="K26" s="43">
        <f t="shared" si="1"/>
        <v>187235.49</v>
      </c>
    </row>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cols>
    <col min="1" max="1" width="26.77734375" bestFit="1" customWidth="1"/>
    <col min="2" max="6" width="13.44140625" customWidth="1"/>
    <col min="7" max="11" width="13.44140625" bestFit="1" customWidth="1"/>
  </cols>
  <sheetData>
    <row r="1" spans="1:11" s="2" customFormat="1">
      <c r="A1" s="2" t="str">
        <f>'Balance Sheet'!A1</f>
        <v>AXIS BANK LTD</v>
      </c>
      <c r="E1" t="str">
        <f>UPDATE</f>
        <v/>
      </c>
      <c r="F1"/>
      <c r="J1" s="2" t="s">
        <v>1</v>
      </c>
    </row>
    <row r="3" spans="1:11" s="2" customFormat="1">
      <c r="A3" s="11" t="s">
        <v>2</v>
      </c>
      <c r="B3" s="12">
        <f>'Data Sheet'!B81</f>
        <v>42460</v>
      </c>
      <c r="C3" s="12">
        <f>'Data Sheet'!C81</f>
        <v>42825</v>
      </c>
      <c r="D3" s="12">
        <f>'Data Sheet'!D81</f>
        <v>43190</v>
      </c>
      <c r="E3" s="12">
        <f>'Data Sheet'!E81</f>
        <v>43555</v>
      </c>
      <c r="F3" s="12">
        <f>'Data Sheet'!F81</f>
        <v>43921</v>
      </c>
      <c r="G3" s="12">
        <f>'Data Sheet'!G81</f>
        <v>44286</v>
      </c>
      <c r="H3" s="12">
        <f>'Data Sheet'!H81</f>
        <v>44651</v>
      </c>
      <c r="I3" s="12">
        <f>'Data Sheet'!I81</f>
        <v>45016</v>
      </c>
      <c r="J3" s="12">
        <f>'Data Sheet'!J81</f>
        <v>45382</v>
      </c>
      <c r="K3" s="12">
        <f>'Data Sheet'!K81</f>
        <v>45747</v>
      </c>
    </row>
    <row r="4" spans="1:11" s="2" customFormat="1">
      <c r="A4" s="2" t="s">
        <v>32</v>
      </c>
      <c r="B4" s="1">
        <f>'Data Sheet'!B82</f>
        <v>-34494.68</v>
      </c>
      <c r="C4" s="1">
        <f>'Data Sheet'!C82</f>
        <v>32208.62</v>
      </c>
      <c r="D4" s="1">
        <f>'Data Sheet'!D82</f>
        <v>-38390.300000000003</v>
      </c>
      <c r="E4" s="1">
        <f>'Data Sheet'!E82</f>
        <v>37125.25</v>
      </c>
      <c r="F4" s="1">
        <f>'Data Sheet'!F82</f>
        <v>30415.64</v>
      </c>
      <c r="G4" s="1">
        <f>'Data Sheet'!G82</f>
        <v>12632.88</v>
      </c>
      <c r="H4" s="1">
        <f>'Data Sheet'!H82</f>
        <v>28137.3</v>
      </c>
      <c r="I4" s="1">
        <f>'Data Sheet'!I82</f>
        <v>22074.78</v>
      </c>
      <c r="J4" s="1">
        <f>'Data Sheet'!J82</f>
        <v>-5554.67</v>
      </c>
      <c r="K4" s="1">
        <f>'Data Sheet'!K82</f>
        <v>44383.68</v>
      </c>
    </row>
    <row r="5" spans="1:11">
      <c r="A5" t="s">
        <v>33</v>
      </c>
      <c r="B5" s="6">
        <f>'Data Sheet'!B83</f>
        <v>9210.7000000000007</v>
      </c>
      <c r="C5" s="6">
        <f>'Data Sheet'!C83</f>
        <v>-12458.4</v>
      </c>
      <c r="D5" s="6">
        <f>'Data Sheet'!D83</f>
        <v>-10007.1</v>
      </c>
      <c r="E5" s="6">
        <f>'Data Sheet'!E83</f>
        <v>-18674.349999999999</v>
      </c>
      <c r="F5" s="6">
        <f>'Data Sheet'!F83</f>
        <v>-9485.2999999999993</v>
      </c>
      <c r="G5" s="6">
        <f>'Data Sheet'!G83</f>
        <v>-54287.63</v>
      </c>
      <c r="H5" s="6">
        <f>'Data Sheet'!H83</f>
        <v>-27112.23</v>
      </c>
      <c r="I5" s="6">
        <f>'Data Sheet'!I83</f>
        <v>-32350.9</v>
      </c>
      <c r="J5" s="6">
        <f>'Data Sheet'!J83</f>
        <v>-9001.33</v>
      </c>
      <c r="K5" s="6">
        <f>'Data Sheet'!K83</f>
        <v>-51177.8</v>
      </c>
    </row>
    <row r="6" spans="1:11">
      <c r="A6" t="s">
        <v>34</v>
      </c>
      <c r="B6" s="6">
        <f>'Data Sheet'!B84</f>
        <v>22494.69</v>
      </c>
      <c r="C6" s="6">
        <f>'Data Sheet'!C84</f>
        <v>-2486.91</v>
      </c>
      <c r="D6" s="6">
        <f>'Data Sheet'!D84</f>
        <v>41342.089999999997</v>
      </c>
      <c r="E6" s="6">
        <f>'Data Sheet'!E84</f>
        <v>5642.6</v>
      </c>
      <c r="F6" s="6">
        <f>'Data Sheet'!F84</f>
        <v>8865.1299999999992</v>
      </c>
      <c r="G6" s="6">
        <f>'Data Sheet'!G84</f>
        <v>7279.33</v>
      </c>
      <c r="H6" s="6">
        <f>'Data Sheet'!H84</f>
        <v>47894.080000000002</v>
      </c>
      <c r="I6" s="6">
        <f>'Data Sheet'!I84</f>
        <v>6640.54</v>
      </c>
      <c r="J6" s="6">
        <f>'Data Sheet'!J84</f>
        <v>22341.25</v>
      </c>
      <c r="K6" s="6">
        <f>'Data Sheet'!K84</f>
        <v>-7000.36</v>
      </c>
    </row>
    <row r="7" spans="1:11" s="2" customFormat="1">
      <c r="A7" s="2" t="s">
        <v>35</v>
      </c>
      <c r="B7" s="1">
        <f>'Data Sheet'!B85</f>
        <v>-2789.29</v>
      </c>
      <c r="C7" s="1">
        <f>'Data Sheet'!C85</f>
        <v>17263.310000000001</v>
      </c>
      <c r="D7" s="1">
        <f>'Data Sheet'!D85</f>
        <v>-7055.3</v>
      </c>
      <c r="E7" s="1">
        <f>'Data Sheet'!E85</f>
        <v>24093.5</v>
      </c>
      <c r="F7" s="1">
        <f>'Data Sheet'!F85</f>
        <v>29795.47</v>
      </c>
      <c r="G7" s="1">
        <f>'Data Sheet'!G85</f>
        <v>-34375.42</v>
      </c>
      <c r="H7" s="1">
        <f>'Data Sheet'!H85</f>
        <v>48919.15</v>
      </c>
      <c r="I7" s="1">
        <f>'Data Sheet'!I85</f>
        <v>-3635.58</v>
      </c>
      <c r="J7" s="1">
        <f>'Data Sheet'!J85</f>
        <v>7785.25</v>
      </c>
      <c r="K7" s="1">
        <f>'Data Sheet'!K85</f>
        <v>-13794.48</v>
      </c>
    </row>
    <row r="8" spans="1:11">
      <c r="B8" s="6"/>
      <c r="C8" s="6"/>
      <c r="D8" s="6"/>
      <c r="E8" s="6"/>
      <c r="F8" s="6"/>
      <c r="G8" s="6"/>
      <c r="H8" s="6"/>
      <c r="I8" s="6"/>
      <c r="J8" s="6"/>
      <c r="K8" s="6"/>
    </row>
    <row r="24" customFormat="1"/>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93"/>
  <sheetViews>
    <sheetView tabSelected="1" zoomScale="87" zoomScaleNormal="120" zoomScalePageLayoutView="120" workbookViewId="0">
      <pane xSplit="1" ySplit="1" topLeftCell="B6" activePane="bottomRight" state="frozen"/>
      <selection activeCell="C4" sqref="C4"/>
      <selection pane="topRight" activeCell="C4" sqref="C4"/>
      <selection pane="bottomLeft" activeCell="C4" sqref="C4"/>
      <selection pane="bottomRight" activeCell="E73" sqref="E73:K73"/>
    </sheetView>
  </sheetViews>
  <sheetFormatPr defaultColWidth="8.77734375" defaultRowHeight="14.4"/>
  <cols>
    <col min="1" max="1" width="27.6640625" style="4" bestFit="1" customWidth="1"/>
    <col min="2" max="2" width="13.44140625" style="4" bestFit="1" customWidth="1"/>
    <col min="3" max="3" width="13.44140625" style="4" customWidth="1"/>
    <col min="4" max="4" width="13.5546875" style="4" customWidth="1"/>
    <col min="5" max="5" width="13.44140625" style="79" bestFit="1" customWidth="1"/>
    <col min="6" max="11" width="13.44140625" style="4" bestFit="1" customWidth="1"/>
    <col min="12" max="12" width="8.77734375" style="4"/>
    <col min="13" max="13" width="11.5546875" style="4" bestFit="1" customWidth="1"/>
    <col min="14" max="16384" width="8.77734375" style="4"/>
  </cols>
  <sheetData>
    <row r="1" spans="1:11" s="1" customFormat="1">
      <c r="A1" s="1" t="s">
        <v>0</v>
      </c>
      <c r="B1" s="1" t="s">
        <v>54</v>
      </c>
      <c r="E1" s="102" t="str">
        <f>IF(B2&lt;&gt;B3, "A NEW VERSION OF THE WORKSHEET IS AVAILABLE", "")</f>
        <v/>
      </c>
      <c r="F1" s="102"/>
      <c r="G1" s="102"/>
      <c r="H1" s="102"/>
      <c r="I1" s="102"/>
      <c r="J1" s="102"/>
      <c r="K1" s="102"/>
    </row>
    <row r="2" spans="1:11">
      <c r="A2" s="1" t="s">
        <v>52</v>
      </c>
      <c r="B2" s="4">
        <v>2.1</v>
      </c>
      <c r="E2" s="103" t="s">
        <v>36</v>
      </c>
      <c r="F2" s="103"/>
      <c r="G2" s="103"/>
      <c r="H2" s="103"/>
      <c r="I2" s="103"/>
      <c r="J2" s="103"/>
      <c r="K2" s="103"/>
    </row>
    <row r="3" spans="1:11">
      <c r="A3" s="1" t="s">
        <v>53</v>
      </c>
      <c r="B3" s="4">
        <v>2.1</v>
      </c>
    </row>
    <row r="4" spans="1:11">
      <c r="A4" s="1"/>
    </row>
    <row r="5" spans="1:11">
      <c r="A5" s="1" t="s">
        <v>55</v>
      </c>
    </row>
    <row r="6" spans="1:11">
      <c r="A6" s="4" t="s">
        <v>42</v>
      </c>
      <c r="B6" s="4">
        <f>IF(B9&gt;0, B9/B8, 0)</f>
        <v>312.26</v>
      </c>
    </row>
    <row r="7" spans="1:11">
      <c r="A7" s="4" t="s">
        <v>31</v>
      </c>
      <c r="B7">
        <v>2</v>
      </c>
    </row>
    <row r="8" spans="1:11">
      <c r="A8" s="4" t="s">
        <v>43</v>
      </c>
      <c r="B8">
        <v>1226</v>
      </c>
    </row>
    <row r="9" spans="1:11">
      <c r="A9" s="4" t="s">
        <v>70</v>
      </c>
      <c r="B9">
        <v>382830.76</v>
      </c>
    </row>
    <row r="15" spans="1:11">
      <c r="A15" s="1" t="s">
        <v>37</v>
      </c>
    </row>
    <row r="16" spans="1:11" s="18" customFormat="1">
      <c r="A16" s="17" t="s">
        <v>38</v>
      </c>
      <c r="B16" s="12">
        <v>42460</v>
      </c>
      <c r="C16" s="12">
        <v>42825</v>
      </c>
      <c r="D16" s="12">
        <v>43190</v>
      </c>
      <c r="E16" s="80">
        <v>43555</v>
      </c>
      <c r="F16" s="12">
        <v>43921</v>
      </c>
      <c r="G16" s="12">
        <v>44286</v>
      </c>
      <c r="H16" s="12">
        <v>44651</v>
      </c>
      <c r="I16" s="12">
        <v>45016</v>
      </c>
      <c r="J16" s="12">
        <v>45382</v>
      </c>
      <c r="K16" s="12">
        <v>45747</v>
      </c>
    </row>
    <row r="17" spans="1:11" s="6" customFormat="1">
      <c r="A17" s="6" t="s">
        <v>6</v>
      </c>
      <c r="B17">
        <v>41409.25</v>
      </c>
      <c r="C17">
        <v>45175.09</v>
      </c>
      <c r="D17">
        <v>46614.06</v>
      </c>
      <c r="E17" s="81">
        <v>56043.65</v>
      </c>
      <c r="F17">
        <v>63715.68</v>
      </c>
      <c r="G17">
        <v>64397.36</v>
      </c>
      <c r="H17">
        <v>68846.06</v>
      </c>
      <c r="I17">
        <v>87448.37</v>
      </c>
      <c r="J17">
        <v>112759.05</v>
      </c>
      <c r="K17">
        <v>127374.09</v>
      </c>
    </row>
    <row r="18" spans="1:11" s="6" customFormat="1">
      <c r="A18" s="4" t="s">
        <v>71</v>
      </c>
      <c r="E18" s="82"/>
    </row>
    <row r="19" spans="1:11" s="6" customFormat="1">
      <c r="A19" s="4" t="s">
        <v>72</v>
      </c>
      <c r="E19" s="82"/>
    </row>
    <row r="20" spans="1:11" s="6" customFormat="1">
      <c r="A20" s="4" t="s">
        <v>73</v>
      </c>
      <c r="E20" s="82"/>
    </row>
    <row r="21" spans="1:11" s="6" customFormat="1">
      <c r="A21" s="4" t="s">
        <v>74</v>
      </c>
      <c r="B21">
        <v>736.13</v>
      </c>
      <c r="C21">
        <v>880.53</v>
      </c>
      <c r="D21">
        <v>878.06</v>
      </c>
      <c r="E21" s="81">
        <v>1093.22</v>
      </c>
      <c r="F21">
        <v>1186.04</v>
      </c>
      <c r="G21">
        <v>1245.68</v>
      </c>
      <c r="H21">
        <v>1449.92</v>
      </c>
      <c r="I21">
        <v>1595.42</v>
      </c>
      <c r="J21">
        <v>1939.23</v>
      </c>
      <c r="K21">
        <v>2329.69</v>
      </c>
    </row>
    <row r="22" spans="1:11" s="6" customFormat="1">
      <c r="A22" s="4" t="s">
        <v>75</v>
      </c>
      <c r="B22">
        <v>4022.38</v>
      </c>
      <c r="C22">
        <v>4745.4799999999996</v>
      </c>
      <c r="D22">
        <v>5417.98</v>
      </c>
      <c r="E22" s="81">
        <v>5994.16</v>
      </c>
      <c r="F22">
        <v>5823.4</v>
      </c>
      <c r="G22">
        <v>6773.03</v>
      </c>
      <c r="H22">
        <v>8421.24</v>
      </c>
      <c r="I22">
        <v>9675.0300000000007</v>
      </c>
      <c r="J22">
        <v>12204.98</v>
      </c>
      <c r="K22">
        <v>13673.12</v>
      </c>
    </row>
    <row r="23" spans="1:11" s="6" customFormat="1">
      <c r="A23" s="4" t="s">
        <v>76</v>
      </c>
      <c r="B23">
        <v>1640.09</v>
      </c>
      <c r="C23">
        <v>2126.4699999999998</v>
      </c>
      <c r="D23">
        <v>2354.92</v>
      </c>
      <c r="E23" s="81">
        <v>2483.83</v>
      </c>
      <c r="F23">
        <v>2640.63</v>
      </c>
      <c r="G23">
        <v>2945.93</v>
      </c>
      <c r="H23">
        <v>3581.14</v>
      </c>
      <c r="I23">
        <v>4022.69</v>
      </c>
      <c r="J23">
        <v>4618.4799999999996</v>
      </c>
      <c r="K23">
        <v>5122.18</v>
      </c>
    </row>
    <row r="24" spans="1:11" s="6" customFormat="1">
      <c r="A24" s="4" t="s">
        <v>77</v>
      </c>
      <c r="B24">
        <v>7470.05</v>
      </c>
      <c r="C24">
        <v>16574.38</v>
      </c>
      <c r="D24">
        <v>21065.57</v>
      </c>
      <c r="E24" s="81">
        <v>18448.5</v>
      </c>
      <c r="F24">
        <v>26325.54</v>
      </c>
      <c r="G24">
        <v>21656.35</v>
      </c>
      <c r="H24">
        <v>17764.18</v>
      </c>
      <c r="I24">
        <v>15348.18</v>
      </c>
      <c r="J24">
        <v>21272.959999999999</v>
      </c>
      <c r="K24">
        <v>25269.919999999998</v>
      </c>
    </row>
    <row r="25" spans="1:11" s="6" customFormat="1">
      <c r="A25" s="6" t="s">
        <v>9</v>
      </c>
      <c r="B25">
        <v>9954.98</v>
      </c>
      <c r="C25">
        <v>12421.6</v>
      </c>
      <c r="D25">
        <v>11862.62</v>
      </c>
      <c r="E25" s="81">
        <v>14188.75</v>
      </c>
      <c r="F25">
        <v>16341.99</v>
      </c>
      <c r="G25">
        <v>13576.92</v>
      </c>
      <c r="H25">
        <v>17268.13</v>
      </c>
      <c r="I25">
        <v>18348.93</v>
      </c>
      <c r="J25">
        <v>25230.31</v>
      </c>
      <c r="K25">
        <v>28542.77</v>
      </c>
    </row>
    <row r="26" spans="1:11" s="6" customFormat="1">
      <c r="A26" s="6" t="s">
        <v>10</v>
      </c>
      <c r="B26">
        <v>461.39</v>
      </c>
      <c r="C26">
        <v>526.66999999999996</v>
      </c>
      <c r="D26">
        <v>590.58000000000004</v>
      </c>
      <c r="E26" s="81">
        <v>737.17</v>
      </c>
      <c r="F26">
        <v>806.07</v>
      </c>
      <c r="G26">
        <v>975.83</v>
      </c>
      <c r="H26">
        <v>1045.5899999999999</v>
      </c>
      <c r="I26">
        <v>13145.65</v>
      </c>
      <c r="J26">
        <v>1384.97</v>
      </c>
      <c r="K26">
        <v>1763.48</v>
      </c>
    </row>
    <row r="27" spans="1:11" s="6" customFormat="1">
      <c r="A27" s="6" t="s">
        <v>11</v>
      </c>
      <c r="B27">
        <v>24344.23</v>
      </c>
      <c r="C27">
        <v>26789.35</v>
      </c>
      <c r="D27">
        <v>27603.69</v>
      </c>
      <c r="E27" s="81">
        <v>33883.47</v>
      </c>
      <c r="F27">
        <v>37995.94</v>
      </c>
      <c r="G27">
        <v>34627.379999999997</v>
      </c>
      <c r="H27">
        <v>34922.660000000003</v>
      </c>
      <c r="I27">
        <v>43389.15</v>
      </c>
      <c r="J27">
        <v>61390.74</v>
      </c>
      <c r="K27">
        <v>71036.31</v>
      </c>
    </row>
    <row r="28" spans="1:11" s="6" customFormat="1">
      <c r="A28" s="6" t="s">
        <v>12</v>
      </c>
      <c r="B28">
        <v>12689.96</v>
      </c>
      <c r="C28">
        <v>5953.81</v>
      </c>
      <c r="D28">
        <v>565.88</v>
      </c>
      <c r="E28" s="81">
        <v>7592.05</v>
      </c>
      <c r="F28">
        <v>5280.05</v>
      </c>
      <c r="G28">
        <v>9750.08</v>
      </c>
      <c r="H28">
        <v>18929.46</v>
      </c>
      <c r="I28">
        <v>18621.18</v>
      </c>
      <c r="J28">
        <v>35178</v>
      </c>
      <c r="K28">
        <v>36722.160000000003</v>
      </c>
    </row>
    <row r="29" spans="1:11" s="6" customFormat="1">
      <c r="A29" s="6" t="s">
        <v>13</v>
      </c>
      <c r="B29">
        <v>4332.38</v>
      </c>
      <c r="C29">
        <v>1986.78</v>
      </c>
      <c r="D29">
        <v>101.86</v>
      </c>
      <c r="E29" s="81">
        <v>2544.96</v>
      </c>
      <c r="F29">
        <v>3401.29</v>
      </c>
      <c r="G29">
        <v>2497.69</v>
      </c>
      <c r="H29">
        <v>4765.1099999999997</v>
      </c>
      <c r="I29">
        <v>7768.52</v>
      </c>
      <c r="J29">
        <v>8754.4599999999991</v>
      </c>
      <c r="K29">
        <v>8610.42</v>
      </c>
    </row>
    <row r="30" spans="1:11" s="6" customFormat="1">
      <c r="A30" s="6" t="s">
        <v>14</v>
      </c>
      <c r="B30">
        <v>8349.67</v>
      </c>
      <c r="C30">
        <v>3953.03</v>
      </c>
      <c r="D30">
        <v>455.82</v>
      </c>
      <c r="E30" s="81">
        <v>5038.59</v>
      </c>
      <c r="F30">
        <v>1853.11</v>
      </c>
      <c r="G30">
        <v>7195.5</v>
      </c>
      <c r="H30">
        <v>14119.29</v>
      </c>
      <c r="I30">
        <v>10818.45</v>
      </c>
      <c r="J30">
        <v>26386.2</v>
      </c>
      <c r="K30">
        <v>28055.11</v>
      </c>
    </row>
    <row r="31" spans="1:11" s="6" customFormat="1">
      <c r="A31" s="6" t="s">
        <v>61</v>
      </c>
      <c r="B31">
        <v>1191.42</v>
      </c>
      <c r="C31">
        <v>1197.52</v>
      </c>
      <c r="E31" s="81">
        <v>257.16000000000003</v>
      </c>
      <c r="H31">
        <v>306.98</v>
      </c>
      <c r="I31">
        <v>307.68</v>
      </c>
      <c r="J31">
        <v>308.66000000000003</v>
      </c>
      <c r="K31">
        <v>309.74</v>
      </c>
    </row>
    <row r="32" spans="1:11" s="6" customFormat="1">
      <c r="E32" s="82"/>
    </row>
    <row r="33" spans="1:11">
      <c r="A33" s="6"/>
    </row>
    <row r="34" spans="1:11">
      <c r="A34" s="6"/>
    </row>
    <row r="35" spans="1:11">
      <c r="A35" s="6"/>
    </row>
    <row r="36" spans="1:11">
      <c r="A36" s="6"/>
    </row>
    <row r="37" spans="1:11">
      <c r="A37" s="6"/>
    </row>
    <row r="38" spans="1:11">
      <c r="A38" s="6"/>
    </row>
    <row r="39" spans="1:11">
      <c r="A39" s="6"/>
    </row>
    <row r="40" spans="1:11">
      <c r="A40" s="1" t="s">
        <v>39</v>
      </c>
    </row>
    <row r="41" spans="1:11" s="18" customFormat="1">
      <c r="A41" s="17" t="s">
        <v>38</v>
      </c>
      <c r="B41" s="12">
        <v>45107</v>
      </c>
      <c r="C41" s="12">
        <v>45199</v>
      </c>
      <c r="D41" s="12">
        <v>45291</v>
      </c>
      <c r="E41" s="80">
        <v>45382</v>
      </c>
      <c r="F41" s="12">
        <v>45473</v>
      </c>
      <c r="G41" s="12">
        <v>45565</v>
      </c>
      <c r="H41" s="12">
        <v>45657</v>
      </c>
      <c r="I41" s="12">
        <v>45747</v>
      </c>
      <c r="J41" s="12">
        <v>45838</v>
      </c>
      <c r="K41" s="12">
        <v>45930</v>
      </c>
    </row>
    <row r="42" spans="1:11" s="6" customFormat="1">
      <c r="A42" s="6" t="s">
        <v>6</v>
      </c>
      <c r="B42">
        <v>26245.74</v>
      </c>
      <c r="C42">
        <v>27417.53</v>
      </c>
      <c r="D42">
        <v>28865.200000000001</v>
      </c>
      <c r="E42" s="81">
        <v>30230.58</v>
      </c>
      <c r="F42">
        <v>31158.52</v>
      </c>
      <c r="G42">
        <v>31601.05</v>
      </c>
      <c r="H42">
        <v>32162.2</v>
      </c>
      <c r="I42">
        <v>32452.32</v>
      </c>
      <c r="J42">
        <v>32348.31</v>
      </c>
      <c r="K42">
        <v>32309.77</v>
      </c>
    </row>
    <row r="43" spans="1:11" s="6" customFormat="1">
      <c r="A43" s="6" t="s">
        <v>7</v>
      </c>
      <c r="B43">
        <v>9730.68</v>
      </c>
      <c r="C43">
        <v>10059.450000000001</v>
      </c>
      <c r="D43">
        <v>10506.5</v>
      </c>
      <c r="E43" s="81">
        <v>11123.99</v>
      </c>
      <c r="F43">
        <v>11891.54</v>
      </c>
      <c r="G43">
        <v>12411.56</v>
      </c>
      <c r="H43">
        <v>11912.73</v>
      </c>
      <c r="I43">
        <v>11942.56</v>
      </c>
      <c r="J43">
        <v>13982.61</v>
      </c>
      <c r="K43">
        <v>14302.44</v>
      </c>
    </row>
    <row r="44" spans="1:11" s="6" customFormat="1">
      <c r="A44" s="6" t="s">
        <v>9</v>
      </c>
      <c r="B44">
        <v>5648.46</v>
      </c>
      <c r="C44">
        <v>5704.7</v>
      </c>
      <c r="D44">
        <v>6271.63</v>
      </c>
      <c r="E44" s="81">
        <v>7605.52</v>
      </c>
      <c r="F44">
        <v>6637.36</v>
      </c>
      <c r="G44">
        <v>7602.72</v>
      </c>
      <c r="H44">
        <v>6796.97</v>
      </c>
      <c r="I44">
        <v>7505.72</v>
      </c>
      <c r="J44">
        <v>8052.69</v>
      </c>
      <c r="K44">
        <v>7460.08</v>
      </c>
    </row>
    <row r="45" spans="1:11" s="6" customFormat="1">
      <c r="A45" s="6" t="s">
        <v>10</v>
      </c>
      <c r="E45" s="82"/>
    </row>
    <row r="46" spans="1:11" s="6" customFormat="1">
      <c r="A46" s="6" t="s">
        <v>11</v>
      </c>
      <c r="B46">
        <v>13971.9</v>
      </c>
      <c r="C46">
        <v>14748.97</v>
      </c>
      <c r="D46">
        <v>15942.63</v>
      </c>
      <c r="E46" s="81">
        <v>16727.240000000002</v>
      </c>
      <c r="F46">
        <v>17261</v>
      </c>
      <c r="G46">
        <v>17614.919999999998</v>
      </c>
      <c r="H46">
        <v>18039.68</v>
      </c>
      <c r="I46">
        <v>18120.71</v>
      </c>
      <c r="J46">
        <v>18238.689999999999</v>
      </c>
      <c r="K46">
        <v>17971.47</v>
      </c>
    </row>
    <row r="47" spans="1:11" s="6" customFormat="1">
      <c r="A47" s="6" t="s">
        <v>12</v>
      </c>
      <c r="B47">
        <v>8191.62</v>
      </c>
      <c r="C47">
        <v>8313.81</v>
      </c>
      <c r="D47">
        <v>8687.7000000000007</v>
      </c>
      <c r="E47" s="81">
        <v>9984.8700000000008</v>
      </c>
      <c r="F47">
        <v>8643.34</v>
      </c>
      <c r="G47">
        <v>9177.2900000000009</v>
      </c>
      <c r="H47">
        <v>9006.76</v>
      </c>
      <c r="I47">
        <v>9894.77</v>
      </c>
      <c r="J47">
        <v>8179.7</v>
      </c>
      <c r="K47">
        <v>7495.94</v>
      </c>
    </row>
    <row r="48" spans="1:11" s="6" customFormat="1">
      <c r="A48" s="6" t="s">
        <v>13</v>
      </c>
      <c r="B48">
        <v>2092.67</v>
      </c>
      <c r="C48">
        <v>2096.13</v>
      </c>
      <c r="D48">
        <v>2194.34</v>
      </c>
      <c r="E48" s="81">
        <v>2371.3200000000002</v>
      </c>
      <c r="F48">
        <v>2193.31</v>
      </c>
      <c r="G48">
        <v>1768.39</v>
      </c>
      <c r="H48">
        <v>2243.66</v>
      </c>
      <c r="I48">
        <v>2405.06</v>
      </c>
      <c r="J48">
        <v>1919.53</v>
      </c>
      <c r="K48">
        <v>1938.43</v>
      </c>
    </row>
    <row r="49" spans="1:13" s="6" customFormat="1">
      <c r="A49" s="6" t="s">
        <v>14</v>
      </c>
      <c r="B49">
        <v>6091.35</v>
      </c>
      <c r="C49">
        <v>6204.15</v>
      </c>
      <c r="D49">
        <v>6491.66</v>
      </c>
      <c r="E49" s="81">
        <v>7599.04</v>
      </c>
      <c r="F49">
        <v>6436.43</v>
      </c>
      <c r="G49">
        <v>7401.26</v>
      </c>
      <c r="H49">
        <v>6742.29</v>
      </c>
      <c r="I49">
        <v>7475.13</v>
      </c>
      <c r="J49">
        <v>6243.72</v>
      </c>
      <c r="K49">
        <v>5527.85</v>
      </c>
    </row>
    <row r="50" spans="1:13">
      <c r="A50" s="6" t="s">
        <v>8</v>
      </c>
      <c r="B50">
        <v>16515.060000000001</v>
      </c>
      <c r="C50">
        <v>17358.080000000002</v>
      </c>
      <c r="D50">
        <v>18358.7</v>
      </c>
      <c r="E50" s="81">
        <v>19106.59</v>
      </c>
      <c r="F50">
        <v>19266.98</v>
      </c>
      <c r="G50">
        <v>19189.490000000002</v>
      </c>
      <c r="H50">
        <v>20249.47</v>
      </c>
      <c r="I50">
        <v>20509.759999999998</v>
      </c>
      <c r="J50">
        <v>18365.7</v>
      </c>
      <c r="K50">
        <v>18007.330000000002</v>
      </c>
    </row>
    <row r="51" spans="1:13">
      <c r="A51" s="6"/>
    </row>
    <row r="52" spans="1:13">
      <c r="A52" s="6"/>
    </row>
    <row r="53" spans="1:13">
      <c r="A53" s="6"/>
    </row>
    <row r="54" spans="1:13">
      <c r="A54" s="6"/>
    </row>
    <row r="55" spans="1:13">
      <c r="A55" s="1" t="s">
        <v>40</v>
      </c>
    </row>
    <row r="56" spans="1:13" s="18" customFormat="1">
      <c r="A56" s="17" t="s">
        <v>38</v>
      </c>
      <c r="B56" s="12">
        <v>42460</v>
      </c>
      <c r="C56" s="12">
        <v>42825</v>
      </c>
      <c r="D56" s="12">
        <v>43190</v>
      </c>
      <c r="E56" s="80">
        <v>43555</v>
      </c>
      <c r="F56" s="12">
        <v>43921</v>
      </c>
      <c r="G56" s="12">
        <v>44286</v>
      </c>
      <c r="H56" s="12">
        <v>44651</v>
      </c>
      <c r="I56" s="12">
        <v>45016</v>
      </c>
      <c r="J56" s="12">
        <v>45382</v>
      </c>
      <c r="K56" s="12">
        <v>45747</v>
      </c>
    </row>
    <row r="57" spans="1:13">
      <c r="A57" s="6" t="s">
        <v>24</v>
      </c>
      <c r="B57">
        <v>476.57</v>
      </c>
      <c r="C57">
        <v>479.01</v>
      </c>
      <c r="D57">
        <v>513.30999999999995</v>
      </c>
      <c r="E57" s="81">
        <v>514.33000000000004</v>
      </c>
      <c r="F57">
        <v>564.34</v>
      </c>
      <c r="G57">
        <v>612.75</v>
      </c>
      <c r="H57">
        <v>613.95000000000005</v>
      </c>
      <c r="I57">
        <v>615.37</v>
      </c>
      <c r="J57">
        <v>617.30999999999995</v>
      </c>
      <c r="K57">
        <v>619.47</v>
      </c>
      <c r="M57" s="4">
        <f>F65-F60</f>
        <v>724001.84</v>
      </c>
    </row>
    <row r="58" spans="1:13">
      <c r="A58" s="6" t="s">
        <v>25</v>
      </c>
      <c r="B58">
        <v>53082.19</v>
      </c>
      <c r="C58">
        <v>55901.34</v>
      </c>
      <c r="D58">
        <v>63694.1</v>
      </c>
      <c r="E58" s="81">
        <v>67288.289999999994</v>
      </c>
      <c r="F58">
        <v>85776.09</v>
      </c>
      <c r="G58">
        <v>102980.95</v>
      </c>
      <c r="H58">
        <v>117646.71</v>
      </c>
      <c r="I58">
        <v>129166.34</v>
      </c>
      <c r="J58">
        <v>156406.21</v>
      </c>
      <c r="K58">
        <v>186616.02</v>
      </c>
    </row>
    <row r="59" spans="1:13">
      <c r="A59" s="6" t="s">
        <v>62</v>
      </c>
      <c r="B59">
        <v>472149.92</v>
      </c>
      <c r="C59">
        <v>527437.43999999994</v>
      </c>
      <c r="D59">
        <v>611424.85</v>
      </c>
      <c r="E59" s="81">
        <v>711995.77</v>
      </c>
      <c r="F59">
        <v>797337.38</v>
      </c>
      <c r="G59">
        <v>850551.35</v>
      </c>
      <c r="H59">
        <v>1020942.96</v>
      </c>
      <c r="I59">
        <v>1152038.29</v>
      </c>
      <c r="J59">
        <v>1295301.95</v>
      </c>
      <c r="K59">
        <v>1391607.64</v>
      </c>
    </row>
    <row r="60" spans="1:13">
      <c r="A60" s="6" t="s">
        <v>63</v>
      </c>
      <c r="B60">
        <v>20677.939999999999</v>
      </c>
      <c r="C60">
        <v>27644.22</v>
      </c>
      <c r="D60">
        <v>28071.11</v>
      </c>
      <c r="E60" s="81">
        <v>34247.58</v>
      </c>
      <c r="F60">
        <v>44194</v>
      </c>
      <c r="G60">
        <v>46859.49</v>
      </c>
      <c r="H60">
        <v>56575.53</v>
      </c>
      <c r="I60">
        <v>62597.96</v>
      </c>
      <c r="J60">
        <v>65913.06</v>
      </c>
      <c r="K60">
        <v>78119.48</v>
      </c>
    </row>
    <row r="61" spans="1:13" s="1" customFormat="1">
      <c r="A61" s="1" t="s">
        <v>26</v>
      </c>
      <c r="B61">
        <v>546386.62</v>
      </c>
      <c r="C61">
        <v>611462.01</v>
      </c>
      <c r="D61">
        <v>703703.37</v>
      </c>
      <c r="E61" s="81">
        <v>814045.97</v>
      </c>
      <c r="F61">
        <v>927871.81</v>
      </c>
      <c r="G61">
        <v>1001004.54</v>
      </c>
      <c r="H61">
        <v>1195779.1499999999</v>
      </c>
      <c r="I61">
        <v>1344417.96</v>
      </c>
      <c r="J61">
        <v>1518238.53</v>
      </c>
      <c r="K61">
        <v>1656962.61</v>
      </c>
    </row>
    <row r="62" spans="1:13">
      <c r="A62" s="6" t="s">
        <v>27</v>
      </c>
      <c r="B62">
        <v>3357.87</v>
      </c>
      <c r="C62">
        <v>3518.14</v>
      </c>
      <c r="D62">
        <v>3697.03</v>
      </c>
      <c r="E62" s="81">
        <v>3842.12</v>
      </c>
      <c r="F62">
        <v>3911.74</v>
      </c>
      <c r="G62">
        <v>4500.59</v>
      </c>
      <c r="H62">
        <v>4753.2299999999996</v>
      </c>
      <c r="I62">
        <v>4999.68</v>
      </c>
      <c r="J62">
        <v>5859.9</v>
      </c>
      <c r="K62">
        <v>6660.74</v>
      </c>
    </row>
    <row r="63" spans="1:13">
      <c r="A63" s="6" t="s">
        <v>28</v>
      </c>
      <c r="B63">
        <v>215.89</v>
      </c>
      <c r="C63">
        <v>292.10000000000002</v>
      </c>
      <c r="D63">
        <v>351.79</v>
      </c>
      <c r="E63" s="81">
        <v>287.76</v>
      </c>
      <c r="F63">
        <v>482.6</v>
      </c>
      <c r="G63">
        <v>118.34</v>
      </c>
      <c r="H63">
        <v>215.13</v>
      </c>
      <c r="I63">
        <v>142.13999999999999</v>
      </c>
      <c r="J63">
        <v>266.89999999999998</v>
      </c>
      <c r="K63">
        <v>120.58</v>
      </c>
    </row>
    <row r="64" spans="1:13">
      <c r="A64" s="6" t="s">
        <v>29</v>
      </c>
      <c r="B64">
        <v>131398.64000000001</v>
      </c>
      <c r="C64">
        <v>129018.35</v>
      </c>
      <c r="D64">
        <v>153036.71</v>
      </c>
      <c r="E64" s="81">
        <v>174055.85</v>
      </c>
      <c r="F64">
        <v>155281.63</v>
      </c>
      <c r="G64">
        <v>225335.77</v>
      </c>
      <c r="H64">
        <v>274608.13</v>
      </c>
      <c r="I64">
        <v>288094.83</v>
      </c>
      <c r="J64">
        <v>332353.74</v>
      </c>
      <c r="K64">
        <v>396685.07</v>
      </c>
    </row>
    <row r="65" spans="1:11">
      <c r="A65" s="6" t="s">
        <v>64</v>
      </c>
      <c r="B65">
        <v>411414.22</v>
      </c>
      <c r="C65">
        <v>478633.42</v>
      </c>
      <c r="D65">
        <v>546617.84</v>
      </c>
      <c r="E65" s="81">
        <v>635860.24</v>
      </c>
      <c r="F65">
        <v>768195.84</v>
      </c>
      <c r="G65">
        <v>771049.84</v>
      </c>
      <c r="H65">
        <v>916202.66</v>
      </c>
      <c r="I65">
        <v>1051181.31</v>
      </c>
      <c r="J65">
        <v>1179757.99</v>
      </c>
      <c r="K65">
        <v>1253496.22</v>
      </c>
    </row>
    <row r="66" spans="1:11" s="1" customFormat="1">
      <c r="A66" s="1" t="s">
        <v>26</v>
      </c>
      <c r="B66">
        <v>546386.62</v>
      </c>
      <c r="C66">
        <v>611462.01</v>
      </c>
      <c r="D66">
        <v>703703.37</v>
      </c>
      <c r="E66" s="81">
        <v>814045.97</v>
      </c>
      <c r="F66">
        <v>927871.81</v>
      </c>
      <c r="G66">
        <v>1001004.54</v>
      </c>
      <c r="H66">
        <v>1195779.1499999999</v>
      </c>
      <c r="I66">
        <v>1344417.96</v>
      </c>
      <c r="J66">
        <v>1518238.53</v>
      </c>
      <c r="K66">
        <v>1656962.61</v>
      </c>
    </row>
    <row r="67" spans="1:11" s="6" customFormat="1">
      <c r="A67" s="6" t="s">
        <v>69</v>
      </c>
      <c r="E67" s="82"/>
    </row>
    <row r="68" spans="1:11">
      <c r="A68" s="6" t="s">
        <v>45</v>
      </c>
    </row>
    <row r="69" spans="1:11">
      <c r="A69" s="4" t="s">
        <v>78</v>
      </c>
      <c r="B69">
        <v>18240.669999999998</v>
      </c>
      <c r="C69">
        <v>24500.02</v>
      </c>
      <c r="D69">
        <v>30223.02</v>
      </c>
      <c r="E69" s="81">
        <v>30885.82</v>
      </c>
      <c r="F69">
        <v>76971.34</v>
      </c>
      <c r="G69">
        <v>39135.410000000003</v>
      </c>
      <c r="H69">
        <v>84194.41</v>
      </c>
      <c r="I69">
        <v>56451.88</v>
      </c>
      <c r="J69">
        <v>76442.679999999993</v>
      </c>
      <c r="K69">
        <v>65564.5</v>
      </c>
    </row>
    <row r="70" spans="1:11">
      <c r="A70" s="4" t="s">
        <v>65</v>
      </c>
      <c r="B70">
        <v>2382831826</v>
      </c>
      <c r="C70">
        <v>2395036109</v>
      </c>
      <c r="D70">
        <v>2566538936</v>
      </c>
      <c r="E70" s="81">
        <v>2571644871</v>
      </c>
      <c r="F70">
        <v>2821677934</v>
      </c>
      <c r="G70">
        <v>3063748652</v>
      </c>
      <c r="H70">
        <v>3069747836</v>
      </c>
      <c r="I70">
        <v>3076852012</v>
      </c>
      <c r="J70">
        <v>3086570375</v>
      </c>
      <c r="K70">
        <v>3097369066</v>
      </c>
    </row>
    <row r="71" spans="1:11">
      <c r="A71" s="4" t="s">
        <v>66</v>
      </c>
    </row>
    <row r="72" spans="1:11">
      <c r="A72" s="4" t="s">
        <v>79</v>
      </c>
      <c r="B72">
        <v>2</v>
      </c>
      <c r="C72">
        <v>2</v>
      </c>
      <c r="D72">
        <v>2</v>
      </c>
      <c r="E72" s="81">
        <v>2</v>
      </c>
      <c r="F72">
        <v>2</v>
      </c>
      <c r="G72">
        <v>2</v>
      </c>
      <c r="H72">
        <v>2</v>
      </c>
      <c r="I72">
        <v>2</v>
      </c>
      <c r="J72">
        <v>2</v>
      </c>
      <c r="K72">
        <v>2</v>
      </c>
    </row>
    <row r="73" spans="1:11">
      <c r="E73" s="79">
        <f>E70/10000000</f>
        <v>257.16448709999997</v>
      </c>
      <c r="F73" s="79">
        <f t="shared" ref="F73:K73" si="0">F70/10000000</f>
        <v>282.16779339999999</v>
      </c>
      <c r="G73" s="79">
        <f t="shared" si="0"/>
        <v>306.37486519999999</v>
      </c>
      <c r="H73" s="79">
        <f t="shared" si="0"/>
        <v>306.97478360000002</v>
      </c>
      <c r="I73" s="79">
        <f t="shared" si="0"/>
        <v>307.68520119999999</v>
      </c>
      <c r="J73" s="79">
        <f t="shared" si="0"/>
        <v>308.6570375</v>
      </c>
      <c r="K73" s="79">
        <f t="shared" si="0"/>
        <v>309.7369066</v>
      </c>
    </row>
    <row r="74" spans="1:11">
      <c r="A74" s="6"/>
    </row>
    <row r="75" spans="1:11">
      <c r="A75" s="6"/>
    </row>
    <row r="76" spans="1:11">
      <c r="A76" s="6"/>
    </row>
    <row r="77" spans="1:11">
      <c r="A77" s="6"/>
    </row>
    <row r="78" spans="1:11">
      <c r="A78" s="6"/>
    </row>
    <row r="79" spans="1:11">
      <c r="A79" s="6"/>
    </row>
    <row r="80" spans="1:11">
      <c r="A80" s="1" t="s">
        <v>41</v>
      </c>
    </row>
    <row r="81" spans="1:11" s="18" customFormat="1">
      <c r="A81" s="17" t="s">
        <v>38</v>
      </c>
      <c r="B81" s="12">
        <v>42460</v>
      </c>
      <c r="C81" s="12">
        <v>42825</v>
      </c>
      <c r="D81" s="12">
        <v>43190</v>
      </c>
      <c r="E81" s="80">
        <v>43555</v>
      </c>
      <c r="F81" s="12">
        <v>43921</v>
      </c>
      <c r="G81" s="12">
        <v>44286</v>
      </c>
      <c r="H81" s="12">
        <v>44651</v>
      </c>
      <c r="I81" s="12">
        <v>45016</v>
      </c>
      <c r="J81" s="12">
        <v>45382</v>
      </c>
      <c r="K81" s="12">
        <v>45747</v>
      </c>
    </row>
    <row r="82" spans="1:11" s="1" customFormat="1">
      <c r="A82" s="6" t="s">
        <v>32</v>
      </c>
      <c r="B82">
        <v>-34494.68</v>
      </c>
      <c r="C82">
        <v>32208.62</v>
      </c>
      <c r="D82">
        <v>-38390.300000000003</v>
      </c>
      <c r="E82" s="81">
        <v>37125.25</v>
      </c>
      <c r="F82">
        <v>30415.64</v>
      </c>
      <c r="G82">
        <v>12632.88</v>
      </c>
      <c r="H82">
        <v>28137.3</v>
      </c>
      <c r="I82">
        <v>22074.78</v>
      </c>
      <c r="J82">
        <v>-5554.67</v>
      </c>
      <c r="K82">
        <v>44383.68</v>
      </c>
    </row>
    <row r="83" spans="1:11" s="6" customFormat="1">
      <c r="A83" s="6" t="s">
        <v>33</v>
      </c>
      <c r="B83">
        <v>9210.7000000000007</v>
      </c>
      <c r="C83">
        <v>-12458.4</v>
      </c>
      <c r="D83">
        <v>-10007.1</v>
      </c>
      <c r="E83" s="81">
        <v>-18674.349999999999</v>
      </c>
      <c r="F83">
        <v>-9485.2999999999993</v>
      </c>
      <c r="G83">
        <v>-54287.63</v>
      </c>
      <c r="H83">
        <v>-27112.23</v>
      </c>
      <c r="I83">
        <v>-32350.9</v>
      </c>
      <c r="J83">
        <v>-9001.33</v>
      </c>
      <c r="K83">
        <v>-51177.8</v>
      </c>
    </row>
    <row r="84" spans="1:11" s="6" customFormat="1">
      <c r="A84" s="6" t="s">
        <v>34</v>
      </c>
      <c r="B84">
        <v>22494.69</v>
      </c>
      <c r="C84">
        <v>-2486.91</v>
      </c>
      <c r="D84">
        <v>41342.089999999997</v>
      </c>
      <c r="E84" s="81">
        <v>5642.6</v>
      </c>
      <c r="F84">
        <v>8865.1299999999992</v>
      </c>
      <c r="G84">
        <v>7279.33</v>
      </c>
      <c r="H84">
        <v>47894.080000000002</v>
      </c>
      <c r="I84">
        <v>6640.54</v>
      </c>
      <c r="J84">
        <v>22341.25</v>
      </c>
      <c r="K84">
        <v>-7000.36</v>
      </c>
    </row>
    <row r="85" spans="1:11" s="1" customFormat="1">
      <c r="A85" s="6" t="s">
        <v>35</v>
      </c>
      <c r="B85">
        <v>-2789.29</v>
      </c>
      <c r="C85">
        <v>17263.310000000001</v>
      </c>
      <c r="D85">
        <v>-7055.3</v>
      </c>
      <c r="E85" s="81">
        <v>24093.5</v>
      </c>
      <c r="F85">
        <v>29795.47</v>
      </c>
      <c r="G85">
        <v>-34375.42</v>
      </c>
      <c r="H85">
        <v>48919.15</v>
      </c>
      <c r="I85">
        <v>-3635.58</v>
      </c>
      <c r="J85">
        <v>7785.25</v>
      </c>
      <c r="K85">
        <v>-13794.48</v>
      </c>
    </row>
    <row r="86" spans="1:11">
      <c r="A86" s="6"/>
    </row>
    <row r="87" spans="1:11">
      <c r="A87" s="6"/>
    </row>
    <row r="88" spans="1:11">
      <c r="A88" s="6"/>
    </row>
    <row r="89" spans="1:11">
      <c r="A89" s="6"/>
    </row>
    <row r="90" spans="1:11" s="1" customFormat="1">
      <c r="A90" s="1" t="s">
        <v>68</v>
      </c>
      <c r="B90">
        <v>444.15</v>
      </c>
      <c r="C90">
        <v>490.8</v>
      </c>
      <c r="D90">
        <v>510.5</v>
      </c>
      <c r="E90" s="81">
        <v>777.25</v>
      </c>
      <c r="F90">
        <v>379</v>
      </c>
      <c r="G90">
        <v>697.45</v>
      </c>
      <c r="H90">
        <v>761.15</v>
      </c>
      <c r="I90">
        <v>858.5</v>
      </c>
      <c r="J90">
        <v>1047.2</v>
      </c>
      <c r="K90">
        <v>1102</v>
      </c>
    </row>
    <row r="92" spans="1:11" s="1" customFormat="1">
      <c r="A92" s="1" t="s">
        <v>67</v>
      </c>
      <c r="E92" s="83"/>
    </row>
    <row r="93" spans="1:11">
      <c r="A93" s="4" t="s">
        <v>80</v>
      </c>
      <c r="B93" s="21">
        <v>238.28</v>
      </c>
      <c r="C93" s="21">
        <v>239.5</v>
      </c>
      <c r="D93" s="21">
        <v>256.64999999999998</v>
      </c>
      <c r="E93" s="84">
        <v>257.16000000000003</v>
      </c>
      <c r="F93" s="21">
        <v>282.17</v>
      </c>
      <c r="G93" s="21">
        <v>306.37</v>
      </c>
      <c r="H93" s="21">
        <v>306.97000000000003</v>
      </c>
      <c r="I93" s="21">
        <v>307.69</v>
      </c>
      <c r="J93" s="21">
        <v>308.66000000000003</v>
      </c>
      <c r="K93" s="21">
        <v>309.74</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INPUT SHEET</vt:lpstr>
      <vt:lpstr>TEASER</vt:lpstr>
      <vt:lpstr>Profit &amp; Loss</vt:lpstr>
      <vt:lpstr>Quarters</vt:lpstr>
      <vt:lpstr>Balance Sheet</vt:lpstr>
      <vt:lpstr>Cash Flow</vt:lpstr>
      <vt:lpstr>Data Sheet</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aldarsandesh@outlook.com</cp:lastModifiedBy>
  <cp:lastPrinted>2025-12-26T07:54:42Z</cp:lastPrinted>
  <dcterms:created xsi:type="dcterms:W3CDTF">2012-08-17T09:55:37Z</dcterms:created>
  <dcterms:modified xsi:type="dcterms:W3CDTF">2026-10-14T16:14:12Z</dcterms:modified>
</cp:coreProperties>
</file>